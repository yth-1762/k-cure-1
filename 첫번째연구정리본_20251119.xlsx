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28.105.35\빅데이터센터 공유폴더\1.빅데이터센터\4. 연구지원\8. 국민건강보험폐암발생연구_김연욱교수님\국가암데이터센터\result\"/>
    </mc:Choice>
  </mc:AlternateContent>
  <bookViews>
    <workbookView xWindow="0" yWindow="0" windowWidth="28800" windowHeight="12165" activeTab="4"/>
  </bookViews>
  <sheets>
    <sheet name="BASELINE" sheetId="4" r:id="rId1"/>
    <sheet name="table3&amp;4 logistic regression" sheetId="2" r:id="rId2"/>
    <sheet name="table5&amp;6&amp;7 cox model" sheetId="1" r:id="rId3"/>
    <sheet name="table8&amp;9&amp;10" sheetId="3" r:id="rId4"/>
    <sheet name="Sheet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4" i="5" l="1"/>
  <c r="I75" i="5"/>
  <c r="H75" i="5"/>
  <c r="H74" i="5"/>
  <c r="H71" i="5"/>
  <c r="I71" i="5"/>
  <c r="I70" i="5"/>
  <c r="H70" i="5"/>
  <c r="I65" i="5"/>
  <c r="J65" i="5"/>
  <c r="I66" i="5"/>
  <c r="J66" i="5"/>
  <c r="I67" i="5"/>
  <c r="J67" i="5"/>
  <c r="H66" i="5"/>
  <c r="H67" i="5"/>
  <c r="H65" i="5"/>
  <c r="I59" i="5"/>
  <c r="J59" i="5"/>
  <c r="I60" i="5"/>
  <c r="J60" i="5"/>
  <c r="I61" i="5"/>
  <c r="J61" i="5"/>
  <c r="H60" i="5"/>
  <c r="H61" i="5"/>
  <c r="H59" i="5"/>
  <c r="F53" i="5"/>
  <c r="F52" i="5"/>
  <c r="F47" i="5"/>
  <c r="F49" i="5"/>
  <c r="F50" i="5"/>
  <c r="F46" i="5"/>
  <c r="F38" i="5"/>
  <c r="F39" i="5"/>
  <c r="F37" i="5"/>
  <c r="F34" i="5"/>
  <c r="F35" i="5"/>
  <c r="F33" i="5"/>
  <c r="F30" i="5"/>
  <c r="F31" i="5"/>
  <c r="F29" i="5"/>
  <c r="F27" i="5"/>
  <c r="F26" i="5"/>
  <c r="F25" i="5"/>
  <c r="O2" i="5"/>
  <c r="O3" i="5"/>
  <c r="O1" i="5"/>
  <c r="H2" i="5"/>
  <c r="H3" i="5"/>
  <c r="H1" i="5"/>
  <c r="O107" i="1"/>
  <c r="F110" i="1"/>
  <c r="F99" i="1"/>
  <c r="F91" i="1"/>
  <c r="M41" i="1"/>
  <c r="M16" i="1"/>
  <c r="F33" i="2"/>
  <c r="P26" i="2"/>
  <c r="P27" i="2"/>
  <c r="P28" i="2"/>
  <c r="P29" i="2"/>
  <c r="P30" i="2"/>
  <c r="P31" i="2"/>
  <c r="P32" i="2"/>
  <c r="P33" i="2"/>
  <c r="P34" i="2"/>
  <c r="P25" i="2"/>
  <c r="O26" i="2"/>
  <c r="O27" i="2"/>
  <c r="O28" i="2"/>
  <c r="O29" i="2"/>
  <c r="O30" i="2"/>
  <c r="O31" i="2"/>
  <c r="O32" i="2"/>
  <c r="O33" i="2"/>
  <c r="O34" i="2"/>
  <c r="O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25" i="2"/>
  <c r="F26" i="2"/>
  <c r="F27" i="2"/>
  <c r="F28" i="2"/>
  <c r="F29" i="2"/>
  <c r="F30" i="2"/>
  <c r="F31" i="2"/>
  <c r="F32" i="2"/>
  <c r="F34" i="2"/>
  <c r="F35" i="2"/>
  <c r="F36" i="2"/>
  <c r="F37" i="2"/>
  <c r="F38" i="2"/>
  <c r="F39" i="2"/>
  <c r="F40" i="2"/>
  <c r="F25" i="2"/>
  <c r="P6" i="2"/>
  <c r="P7" i="2"/>
  <c r="P8" i="2"/>
  <c r="P9" i="2"/>
  <c r="P10" i="2"/>
  <c r="P11" i="2"/>
  <c r="P12" i="2"/>
  <c r="P13" i="2"/>
  <c r="P14" i="2"/>
  <c r="P15" i="2"/>
  <c r="P5" i="2"/>
  <c r="O6" i="2"/>
  <c r="O7" i="2"/>
  <c r="O8" i="2"/>
  <c r="O9" i="2"/>
  <c r="O10" i="2"/>
  <c r="O11" i="2"/>
  <c r="O12" i="2"/>
  <c r="O13" i="2"/>
  <c r="O14" i="2"/>
  <c r="O15" i="2"/>
  <c r="O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5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99" i="1"/>
  <c r="O100" i="1"/>
  <c r="O101" i="1"/>
  <c r="O102" i="1"/>
  <c r="O103" i="1"/>
  <c r="O104" i="1"/>
  <c r="O105" i="1"/>
  <c r="O106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99" i="1"/>
  <c r="F100" i="1"/>
  <c r="F101" i="1"/>
  <c r="F102" i="1"/>
  <c r="F103" i="1"/>
  <c r="F104" i="1"/>
  <c r="F105" i="1"/>
  <c r="F106" i="1"/>
  <c r="F107" i="1"/>
  <c r="F108" i="1"/>
  <c r="F109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X87" i="1"/>
  <c r="X88" i="1"/>
  <c r="X89" i="1"/>
  <c r="X90" i="1"/>
  <c r="X91" i="1"/>
  <c r="X92" i="1"/>
  <c r="X86" i="1"/>
  <c r="W87" i="1"/>
  <c r="W88" i="1"/>
  <c r="W89" i="1"/>
  <c r="W90" i="1"/>
  <c r="W91" i="1"/>
  <c r="W92" i="1"/>
  <c r="W86" i="1"/>
  <c r="O87" i="1"/>
  <c r="O88" i="1"/>
  <c r="O89" i="1"/>
  <c r="O90" i="1"/>
  <c r="O91" i="1"/>
  <c r="O92" i="1"/>
  <c r="N87" i="1"/>
  <c r="N88" i="1"/>
  <c r="N89" i="1"/>
  <c r="N90" i="1"/>
  <c r="N91" i="1"/>
  <c r="N92" i="1"/>
  <c r="O86" i="1"/>
  <c r="N86" i="1"/>
  <c r="G87" i="1"/>
  <c r="G88" i="1"/>
  <c r="G89" i="1"/>
  <c r="G90" i="1"/>
  <c r="G91" i="1"/>
  <c r="G92" i="1"/>
  <c r="G86" i="1"/>
  <c r="F87" i="1"/>
  <c r="F88" i="1"/>
  <c r="F89" i="1"/>
  <c r="F90" i="1"/>
  <c r="F92" i="1"/>
  <c r="F86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61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G61" i="1"/>
  <c r="F61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33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M34" i="1"/>
  <c r="M35" i="1"/>
  <c r="M36" i="1"/>
  <c r="M37" i="1"/>
  <c r="M38" i="1"/>
  <c r="M39" i="1"/>
  <c r="M40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N33" i="1"/>
  <c r="M33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G31" i="1"/>
  <c r="F31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4" i="1"/>
  <c r="N2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4" i="1"/>
  <c r="N25" i="1"/>
  <c r="M5" i="1"/>
  <c r="M6" i="1"/>
  <c r="M7" i="1"/>
  <c r="M8" i="1"/>
  <c r="M9" i="1"/>
  <c r="M10" i="1"/>
  <c r="M11" i="1"/>
  <c r="M12" i="1"/>
  <c r="M13" i="1"/>
  <c r="M14" i="1"/>
  <c r="M15" i="1"/>
  <c r="M17" i="1"/>
  <c r="M18" i="1"/>
  <c r="M19" i="1"/>
  <c r="M20" i="1"/>
  <c r="M21" i="1"/>
  <c r="M22" i="1"/>
  <c r="M23" i="1"/>
  <c r="M24" i="1"/>
  <c r="M25" i="1"/>
  <c r="N4" i="1"/>
  <c r="M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G4" i="1"/>
  <c r="F4" i="1"/>
  <c r="O72" i="3"/>
  <c r="O73" i="3"/>
  <c r="O74" i="3"/>
  <c r="O75" i="3"/>
  <c r="O76" i="3"/>
  <c r="O77" i="3"/>
  <c r="O78" i="3"/>
  <c r="O79" i="3"/>
  <c r="O71" i="3"/>
  <c r="N71" i="3"/>
  <c r="N72" i="3"/>
  <c r="N73" i="3"/>
  <c r="N74" i="3"/>
  <c r="N75" i="3"/>
  <c r="N76" i="3"/>
  <c r="N77" i="3"/>
  <c r="N78" i="3"/>
  <c r="N79" i="3"/>
  <c r="G72" i="3"/>
  <c r="G73" i="3"/>
  <c r="G74" i="3"/>
  <c r="G75" i="3"/>
  <c r="G76" i="3"/>
  <c r="G77" i="3"/>
  <c r="G78" i="3"/>
  <c r="G79" i="3"/>
  <c r="G71" i="3"/>
  <c r="F72" i="3"/>
  <c r="F73" i="3"/>
  <c r="F74" i="3"/>
  <c r="F75" i="3"/>
  <c r="F76" i="3"/>
  <c r="F77" i="3"/>
  <c r="F78" i="3"/>
  <c r="F79" i="3"/>
  <c r="F71" i="3"/>
  <c r="O59" i="3"/>
  <c r="O60" i="3"/>
  <c r="O61" i="3"/>
  <c r="O62" i="3"/>
  <c r="O63" i="3"/>
  <c r="O64" i="3"/>
  <c r="O65" i="3"/>
  <c r="O66" i="3"/>
  <c r="O58" i="3"/>
  <c r="N59" i="3"/>
  <c r="N60" i="3"/>
  <c r="N61" i="3"/>
  <c r="N62" i="3"/>
  <c r="N63" i="3"/>
  <c r="N64" i="3"/>
  <c r="N65" i="3"/>
  <c r="N66" i="3"/>
  <c r="N58" i="3"/>
  <c r="G59" i="3"/>
  <c r="G60" i="3"/>
  <c r="G61" i="3"/>
  <c r="G62" i="3"/>
  <c r="G63" i="3"/>
  <c r="G64" i="3"/>
  <c r="G65" i="3"/>
  <c r="G66" i="3"/>
  <c r="G58" i="3"/>
  <c r="F59" i="3"/>
  <c r="F60" i="3"/>
  <c r="F61" i="3"/>
  <c r="F62" i="3"/>
  <c r="F63" i="3"/>
  <c r="F64" i="3"/>
  <c r="F65" i="3"/>
  <c r="F66" i="3"/>
  <c r="F58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20" i="3"/>
  <c r="G4" i="3"/>
  <c r="G3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20" i="3"/>
  <c r="O8" i="3"/>
  <c r="O4" i="3"/>
  <c r="O5" i="3"/>
  <c r="O6" i="3"/>
  <c r="O7" i="3"/>
  <c r="O9" i="3"/>
  <c r="O10" i="3"/>
  <c r="O11" i="3"/>
  <c r="O12" i="3"/>
  <c r="O13" i="3"/>
  <c r="O14" i="3"/>
  <c r="O3" i="3"/>
  <c r="N4" i="3"/>
  <c r="N5" i="3"/>
  <c r="N6" i="3"/>
  <c r="N7" i="3"/>
  <c r="N8" i="3"/>
  <c r="N9" i="3"/>
  <c r="N10" i="3"/>
  <c r="N11" i="3"/>
  <c r="N12" i="3"/>
  <c r="N13" i="3"/>
  <c r="N14" i="3"/>
  <c r="N3" i="3"/>
  <c r="G5" i="3" l="1"/>
  <c r="G6" i="3"/>
  <c r="G7" i="3"/>
  <c r="G8" i="3"/>
  <c r="G9" i="3"/>
  <c r="G10" i="3"/>
  <c r="G11" i="3"/>
  <c r="G12" i="3"/>
  <c r="G13" i="3"/>
  <c r="G14" i="3"/>
  <c r="F4" i="3"/>
  <c r="F5" i="3"/>
  <c r="F6" i="3"/>
  <c r="F7" i="3"/>
  <c r="F8" i="3"/>
  <c r="F9" i="3"/>
  <c r="F10" i="3"/>
  <c r="F11" i="3"/>
  <c r="F12" i="3"/>
  <c r="F13" i="3"/>
  <c r="F14" i="3"/>
  <c r="F3" i="3"/>
</calcChain>
</file>

<file path=xl/sharedStrings.xml><?xml version="1.0" encoding="utf-8"?>
<sst xmlns="http://schemas.openxmlformats.org/spreadsheetml/2006/main" count="1137" uniqueCount="465">
  <si>
    <t>hr</t>
    <phoneticPr fontId="1" type="noConversion"/>
  </si>
  <si>
    <t>pvalue</t>
    <phoneticPr fontId="1" type="noConversion"/>
  </si>
  <si>
    <t>lower</t>
    <phoneticPr fontId="1" type="noConversion"/>
  </si>
  <si>
    <t>upper</t>
    <phoneticPr fontId="1" type="noConversion"/>
  </si>
  <si>
    <t>table5(all cause mortality)</t>
    <phoneticPr fontId="1" type="noConversion"/>
  </si>
  <si>
    <t>smk_behave(before_stop)</t>
    <phoneticPr fontId="1" type="noConversion"/>
  </si>
  <si>
    <t>smk_behave(after_stop)</t>
    <phoneticPr fontId="1" type="noConversion"/>
  </si>
  <si>
    <t>smk_behave(current)</t>
    <phoneticPr fontId="1" type="noConversion"/>
  </si>
  <si>
    <t>age</t>
    <phoneticPr fontId="1" type="noConversion"/>
  </si>
  <si>
    <t>pvaue(new)</t>
    <phoneticPr fontId="1" type="noConversion"/>
  </si>
  <si>
    <t>sex1</t>
    <phoneticPr fontId="1" type="noConversion"/>
  </si>
  <si>
    <t xml:space="preserve">pack_year </t>
    <phoneticPr fontId="1" type="noConversion"/>
  </si>
  <si>
    <t xml:space="preserve">G1E_BMI </t>
    <phoneticPr fontId="1" type="noConversion"/>
  </si>
  <si>
    <t xml:space="preserve">income2 </t>
  </si>
  <si>
    <t xml:space="preserve">income3 </t>
    <phoneticPr fontId="1" type="noConversion"/>
  </si>
  <si>
    <t xml:space="preserve">income4 </t>
    <phoneticPr fontId="1" type="noConversion"/>
  </si>
  <si>
    <t xml:space="preserve">income5 </t>
  </si>
  <si>
    <t xml:space="preserve">cci_group1-2 </t>
  </si>
  <si>
    <t>cci_group3-4</t>
    <phoneticPr fontId="1" type="noConversion"/>
  </si>
  <si>
    <t>cci_group&gt;=5</t>
    <phoneticPr fontId="1" type="noConversion"/>
  </si>
  <si>
    <t xml:space="preserve">activityactive </t>
  </si>
  <si>
    <t>non_small_yn1</t>
  </si>
  <si>
    <t>SEER_GRP2</t>
  </si>
  <si>
    <t>SEER_GRP7</t>
  </si>
  <si>
    <t>SEER_GRP9</t>
  </si>
  <si>
    <t xml:space="preserve">surgery_ynyes </t>
  </si>
  <si>
    <t xml:space="preserve">radio_ynyes </t>
  </si>
  <si>
    <t xml:space="preserve">system_ynyes </t>
  </si>
  <si>
    <t>table5(lung cancer mortality)</t>
    <phoneticPr fontId="1" type="noConversion"/>
  </si>
  <si>
    <t>table5(non- lung cancer mortality)</t>
    <phoneticPr fontId="1" type="noConversion"/>
  </si>
  <si>
    <t>(univariable)</t>
    <phoneticPr fontId="1" type="noConversion"/>
  </si>
  <si>
    <t>(multivariable)</t>
    <phoneticPr fontId="1" type="noConversion"/>
  </si>
  <si>
    <t>table5&amp;6(all cause mortality)</t>
    <phoneticPr fontId="1" type="noConversion"/>
  </si>
  <si>
    <t>table5&amp;6(lung cancer mortality)</t>
    <phoneticPr fontId="1" type="noConversion"/>
  </si>
  <si>
    <t>table5&amp;6(non-lung cancer mortality)</t>
    <phoneticPr fontId="1" type="noConversion"/>
  </si>
  <si>
    <t>table7(all cause mortality)</t>
    <phoneticPr fontId="1" type="noConversion"/>
  </si>
  <si>
    <t>table7(lung cancer mortality)</t>
    <phoneticPr fontId="1" type="noConversion"/>
  </si>
  <si>
    <t>table7(non-lung cancer mortality)</t>
    <phoneticPr fontId="1" type="noConversion"/>
  </si>
  <si>
    <t>table6(all cause mortality)</t>
    <phoneticPr fontId="1" type="noConversion"/>
  </si>
  <si>
    <t>(univariable)</t>
    <phoneticPr fontId="1" type="noConversion"/>
  </si>
  <si>
    <t>grouptype11</t>
  </si>
  <si>
    <t>grouptype20</t>
  </si>
  <si>
    <t>grouptype21</t>
  </si>
  <si>
    <t>grouptype30</t>
  </si>
  <si>
    <t>grouptype31</t>
  </si>
  <si>
    <t>grouptype40</t>
  </si>
  <si>
    <t>grouptype41</t>
  </si>
  <si>
    <t>hr</t>
    <phoneticPr fontId="1" type="noConversion"/>
  </si>
  <si>
    <t>pvalue</t>
    <phoneticPr fontId="1" type="noConversion"/>
  </si>
  <si>
    <t>upper</t>
  </si>
  <si>
    <t>upper</t>
    <phoneticPr fontId="1" type="noConversion"/>
  </si>
  <si>
    <t>lower</t>
  </si>
  <si>
    <t>lower</t>
    <phoneticPr fontId="1" type="noConversion"/>
  </si>
  <si>
    <t>pvaluenew</t>
    <phoneticPr fontId="1" type="noConversion"/>
  </si>
  <si>
    <t>table6(lung cancer mortality)</t>
    <phoneticPr fontId="1" type="noConversion"/>
  </si>
  <si>
    <t>pvaluenew</t>
    <phoneticPr fontId="1" type="noConversion"/>
  </si>
  <si>
    <t>table6(non-lung cancer mortality)</t>
    <phoneticPr fontId="1" type="noConversion"/>
  </si>
  <si>
    <t>Inf</t>
  </si>
  <si>
    <t>(multivariable)</t>
    <phoneticPr fontId="1" type="noConversion"/>
  </si>
  <si>
    <t>AGE</t>
  </si>
  <si>
    <t>SEX1</t>
  </si>
  <si>
    <t>pack_year</t>
  </si>
  <si>
    <t>G1E_BMI</t>
  </si>
  <si>
    <t>income2</t>
  </si>
  <si>
    <t>income3</t>
  </si>
  <si>
    <t>income4</t>
  </si>
  <si>
    <t>income5</t>
  </si>
  <si>
    <t>cci_group&gt;=5</t>
  </si>
  <si>
    <t>cci_group1-2</t>
  </si>
  <si>
    <t>cci_group3-4</t>
  </si>
  <si>
    <t>activityactive</t>
  </si>
  <si>
    <t>surgery_ynyes</t>
  </si>
  <si>
    <t>radio_ynyes</t>
  </si>
  <si>
    <t>system_ynyes</t>
  </si>
  <si>
    <t>cci_group&gt;=5</t>
    <phoneticPr fontId="1" type="noConversion"/>
  </si>
  <si>
    <t>table6(lung cancer mortality)</t>
    <phoneticPr fontId="1" type="noConversion"/>
  </si>
  <si>
    <t>grouptype11</t>
    <phoneticPr fontId="1" type="noConversion"/>
  </si>
  <si>
    <t>lower</t>
    <phoneticPr fontId="1" type="noConversion"/>
  </si>
  <si>
    <t>upper</t>
    <phoneticPr fontId="1" type="noConversion"/>
  </si>
  <si>
    <t>lower</t>
    <phoneticPr fontId="1" type="noConversion"/>
  </si>
  <si>
    <t>upper</t>
    <phoneticPr fontId="1" type="noConversion"/>
  </si>
  <si>
    <t>lower</t>
    <phoneticPr fontId="1" type="noConversion"/>
  </si>
  <si>
    <t>lower</t>
    <phoneticPr fontId="1" type="noConversion"/>
  </si>
  <si>
    <t>lower</t>
    <phoneticPr fontId="1" type="noConversion"/>
  </si>
  <si>
    <t>upper</t>
    <phoneticPr fontId="1" type="noConversion"/>
  </si>
  <si>
    <t>lower</t>
    <phoneticPr fontId="1" type="noConversion"/>
  </si>
  <si>
    <t>table6(non-lung cancer mortality)</t>
    <phoneticPr fontId="1" type="noConversion"/>
  </si>
  <si>
    <t>table3(univariable)</t>
    <phoneticPr fontId="1" type="noConversion"/>
  </si>
  <si>
    <t>hr</t>
    <phoneticPr fontId="1" type="noConversion"/>
  </si>
  <si>
    <t>lower</t>
    <phoneticPr fontId="1" type="noConversion"/>
  </si>
  <si>
    <t>upper</t>
    <phoneticPr fontId="1" type="noConversion"/>
  </si>
  <si>
    <t>hr(95%ci)</t>
    <phoneticPr fontId="1" type="noConversion"/>
  </si>
  <si>
    <t>pvalue(new)</t>
    <phoneticPr fontId="1" type="noConversion"/>
  </si>
  <si>
    <t xml:space="preserve">SEX1        </t>
  </si>
  <si>
    <t>AGE</t>
    <phoneticPr fontId="1" type="noConversion"/>
  </si>
  <si>
    <t xml:space="preserve">pack_year   </t>
  </si>
  <si>
    <t xml:space="preserve">G1E_BMI      </t>
  </si>
  <si>
    <t xml:space="preserve">income      </t>
  </si>
  <si>
    <t xml:space="preserve">cci_score   </t>
  </si>
  <si>
    <t xml:space="preserve">non_small_yn1 </t>
  </si>
  <si>
    <t>surgery_yn1</t>
  </si>
  <si>
    <t>radio_yn1</t>
  </si>
  <si>
    <t>system_yn1</t>
  </si>
  <si>
    <t>ntp_yn1</t>
  </si>
  <si>
    <t>table3(multi variable)</t>
    <phoneticPr fontId="1" type="noConversion"/>
  </si>
  <si>
    <t>income</t>
  </si>
  <si>
    <t>cci_score</t>
  </si>
  <si>
    <t>table4(univariable)</t>
    <phoneticPr fontId="1" type="noConversion"/>
  </si>
  <si>
    <t>smk_behaveafter_stop</t>
  </si>
  <si>
    <t>smk_behavebefore_stop</t>
  </si>
  <si>
    <t>smk_behavecurrent</t>
  </si>
  <si>
    <t>table4(multivariable)</t>
    <phoneticPr fontId="1" type="noConversion"/>
  </si>
  <si>
    <t>hr</t>
    <phoneticPr fontId="1" type="noConversion"/>
  </si>
  <si>
    <t>upper</t>
    <phoneticPr fontId="1" type="noConversion"/>
  </si>
  <si>
    <t>pvalue</t>
    <phoneticPr fontId="1" type="noConversion"/>
  </si>
  <si>
    <t>pvalue(new)</t>
    <phoneticPr fontId="1" type="noConversion"/>
  </si>
  <si>
    <t>smk_behavecurrent</t>
    <phoneticPr fontId="1" type="noConversion"/>
  </si>
  <si>
    <t>upper</t>
    <phoneticPr fontId="1" type="noConversion"/>
  </si>
  <si>
    <t>hr(95%ci)</t>
    <phoneticPr fontId="1" type="noConversion"/>
  </si>
  <si>
    <t>pvalue(new)</t>
    <phoneticPr fontId="1" type="noConversion"/>
  </si>
  <si>
    <t>hr</t>
    <phoneticPr fontId="1" type="noConversion"/>
  </si>
  <si>
    <t>lower</t>
    <phoneticPr fontId="1" type="noConversion"/>
  </si>
  <si>
    <t>pvalue</t>
    <phoneticPr fontId="1" type="noConversion"/>
  </si>
  <si>
    <t>hr(95%ci)</t>
    <phoneticPr fontId="1" type="noConversion"/>
  </si>
  <si>
    <t>pvalue(new)</t>
    <phoneticPr fontId="1" type="noConversion"/>
  </si>
  <si>
    <t>smk_statusSmoking quitters after NTP use</t>
    <phoneticPr fontId="1" type="noConversion"/>
  </si>
  <si>
    <t>smk_statusContinuous smokers</t>
    <phoneticPr fontId="1" type="noConversion"/>
  </si>
  <si>
    <t xml:space="preserve">smk_statusContinuous smokers   </t>
    <phoneticPr fontId="1" type="noConversion"/>
  </si>
  <si>
    <t>table10(univariable)(all cause mortality)</t>
    <phoneticPr fontId="1" type="noConversion"/>
  </si>
  <si>
    <t>table10(univariable)(lung-cancer mortality)</t>
    <phoneticPr fontId="1" type="noConversion"/>
  </si>
  <si>
    <t>table10(multivariable)(all cause mortality)</t>
    <phoneticPr fontId="1" type="noConversion"/>
  </si>
  <si>
    <t>table9(all cause mortality)(multivariable)</t>
    <phoneticPr fontId="1" type="noConversion"/>
  </si>
  <si>
    <t>table9(lung cancer mortality)(multivariable)</t>
    <phoneticPr fontId="1" type="noConversion"/>
  </si>
  <si>
    <t>table8(all cause mortality)(multivariable)</t>
    <phoneticPr fontId="1" type="noConversion"/>
  </si>
  <si>
    <t>table8(lung cancer cause mortality)(multivariable)</t>
    <phoneticPr fontId="1" type="noConversion"/>
  </si>
  <si>
    <t>smk_statusSmoking quitters after NTP use</t>
  </si>
  <si>
    <t>smk_statusContinuous smokers</t>
  </si>
  <si>
    <t>hr</t>
    <phoneticPr fontId="1" type="noConversion"/>
  </si>
  <si>
    <t>lower</t>
    <phoneticPr fontId="1" type="noConversion"/>
  </si>
  <si>
    <t>upper</t>
    <phoneticPr fontId="1" type="noConversion"/>
  </si>
  <si>
    <t>pvalue</t>
    <phoneticPr fontId="1" type="noConversion"/>
  </si>
  <si>
    <t>hr(95%ci)</t>
    <phoneticPr fontId="1" type="noConversion"/>
  </si>
  <si>
    <t>pvalue(new)</t>
    <phoneticPr fontId="1" type="noConversion"/>
  </si>
  <si>
    <t xml:space="preserve">AGE </t>
    <phoneticPr fontId="1" type="noConversion"/>
  </si>
  <si>
    <t>64.3 ± 10.1</t>
  </si>
  <si>
    <t>64.2 ± 10.8</t>
  </si>
  <si>
    <t>66.1 ±  9.2</t>
  </si>
  <si>
    <t>63.3 ± 10.3</t>
  </si>
  <si>
    <t>62.3 ±  9.6</t>
  </si>
  <si>
    <t>56.9 ±  9.8</t>
  </si>
  <si>
    <t>65.7 ±  8.8</t>
  </si>
  <si>
    <t>58.5 ± 11.2</t>
  </si>
  <si>
    <t>group10</t>
    <phoneticPr fontId="1" type="noConversion"/>
  </si>
  <si>
    <t>group11</t>
    <phoneticPr fontId="1" type="noConversion"/>
  </si>
  <si>
    <t>group21</t>
    <phoneticPr fontId="1" type="noConversion"/>
  </si>
  <si>
    <t>group30</t>
    <phoneticPr fontId="1" type="noConversion"/>
  </si>
  <si>
    <t>group31</t>
    <phoneticPr fontId="1" type="noConversion"/>
  </si>
  <si>
    <t>group40</t>
    <phoneticPr fontId="1" type="noConversion"/>
  </si>
  <si>
    <t>group41</t>
    <phoneticPr fontId="1" type="noConversion"/>
  </si>
  <si>
    <t>group20</t>
    <phoneticPr fontId="1" type="noConversion"/>
  </si>
  <si>
    <t>AGE_GROUP</t>
    <phoneticPr fontId="1" type="noConversion"/>
  </si>
  <si>
    <t>1424 ( 7.9%)</t>
  </si>
  <si>
    <t>1 ( 3.8%)</t>
  </si>
  <si>
    <t>378 ( 4.9%)</t>
  </si>
  <si>
    <t>355 (10.6%)</t>
  </si>
  <si>
    <t>9 (17.3%)</t>
  </si>
  <si>
    <t>52 ( 4.1%)</t>
  </si>
  <si>
    <t>10 (25.6%)</t>
  </si>
  <si>
    <t>&lt;50</t>
    <phoneticPr fontId="1" type="noConversion"/>
  </si>
  <si>
    <t xml:space="preserve">50대       </t>
    <phoneticPr fontId="1" type="noConversion"/>
  </si>
  <si>
    <t>4011(22.2%)</t>
  </si>
  <si>
    <t>8(30.8%)</t>
  </si>
  <si>
    <t>1271(16.5%)</t>
  </si>
  <si>
    <t>7(30.4%)</t>
  </si>
  <si>
    <t>812(24.2%)</t>
  </si>
  <si>
    <t>22(42.3%)</t>
  </si>
  <si>
    <t>213(16.9%)</t>
  </si>
  <si>
    <t>11(28.2%)</t>
  </si>
  <si>
    <t>60대</t>
    <phoneticPr fontId="1" type="noConversion"/>
  </si>
  <si>
    <t>70대</t>
  </si>
  <si>
    <t>80대</t>
  </si>
  <si>
    <t>6780(37.5%)</t>
  </si>
  <si>
    <t>10(38.5%)</t>
  </si>
  <si>
    <t>3107(40.3%)</t>
  </si>
  <si>
    <t>8(34.8%)</t>
  </si>
  <si>
    <t>1432(42.6%)</t>
  </si>
  <si>
    <t>17(32.7%)</t>
  </si>
  <si>
    <t>563(44.6%)</t>
  </si>
  <si>
    <t>12(30.8%)</t>
  </si>
  <si>
    <t>4945(27.4%)</t>
  </si>
  <si>
    <t>3(11.5%)</t>
  </si>
  <si>
    <t>2596(33.6%)</t>
  </si>
  <si>
    <t>5(21.7%)</t>
  </si>
  <si>
    <t>688(20.5%)</t>
  </si>
  <si>
    <t>3(5.8%)</t>
  </si>
  <si>
    <t>396(31.4%)</t>
  </si>
  <si>
    <t>4(10.3%)</t>
  </si>
  <si>
    <t>4(15.4%)</t>
  </si>
  <si>
    <t>367(4.8%)</t>
  </si>
  <si>
    <t>2(8.7%)</t>
  </si>
  <si>
    <t>75(2.2%)</t>
  </si>
  <si>
    <t>38(3.0%)</t>
  </si>
  <si>
    <t>2(5.1%)</t>
  </si>
  <si>
    <t>907(5.0%)</t>
  </si>
  <si>
    <t>1(1.9%)</t>
  </si>
  <si>
    <t>SEX</t>
  </si>
  <si>
    <t>5731(31.7%)</t>
  </si>
  <si>
    <t>22(84.6%)</t>
  </si>
  <si>
    <t>7456(96.6%)</t>
  </si>
  <si>
    <t>22(95.7%)</t>
  </si>
  <si>
    <t>3165(94.1%)</t>
  </si>
  <si>
    <t>45(86.5%)</t>
  </si>
  <si>
    <t>1193(94.5%)</t>
  </si>
  <si>
    <t>36(92.3%)</t>
  </si>
  <si>
    <t>12336(68.3%)</t>
  </si>
  <si>
    <t>263(3.4%)</t>
  </si>
  <si>
    <t>1(4.3%)</t>
  </si>
  <si>
    <t>197(5.9%)</t>
  </si>
  <si>
    <t>7(13.5%)</t>
  </si>
  <si>
    <t>69(5.5%)</t>
  </si>
  <si>
    <t>3(7.7%)</t>
  </si>
  <si>
    <t>26.1±22.2</t>
  </si>
  <si>
    <t>33.0±22.0</t>
  </si>
  <si>
    <t>34.3±23.9</t>
  </si>
  <si>
    <t>28.1±25.6</t>
  </si>
  <si>
    <t>25.6±20.3</t>
  </si>
  <si>
    <t>27.8±24.5</t>
  </si>
  <si>
    <t>pack_year_group</t>
  </si>
  <si>
    <t>&lt;20</t>
  </si>
  <si>
    <t>&gt;=20</t>
  </si>
  <si>
    <t>-</t>
    <phoneticPr fontId="1" type="noConversion"/>
  </si>
  <si>
    <t>18067(100.0%)</t>
  </si>
  <si>
    <t>26(100.0%)</t>
  </si>
  <si>
    <t>3075(39.8%)</t>
  </si>
  <si>
    <t>852(25.3%)</t>
  </si>
  <si>
    <t>20(38.5%)</t>
  </si>
  <si>
    <t>554(43.9%)</t>
  </si>
  <si>
    <t>17(43.6%)</t>
  </si>
  <si>
    <t>0(0.0%)</t>
  </si>
  <si>
    <t>4644(60.2%)</t>
  </si>
  <si>
    <t>16(69.6%)</t>
  </si>
  <si>
    <t>2510(74.7%)</t>
  </si>
  <si>
    <t>32(61.5%)</t>
  </si>
  <si>
    <t>708(56.1%)</t>
  </si>
  <si>
    <t>22(56.4%)</t>
  </si>
  <si>
    <t>23.6±2.8</t>
  </si>
  <si>
    <t>24.0±2.7</t>
  </si>
  <si>
    <t>23.8±2.6</t>
  </si>
  <si>
    <t>24.2±2.3</t>
  </si>
  <si>
    <t>23.9±2.7</t>
  </si>
  <si>
    <t>23.3±2.8</t>
  </si>
  <si>
    <t>24.7±3.1</t>
  </si>
  <si>
    <t>3812(21.1%)</t>
  </si>
  <si>
    <t>1384(17.9%)</t>
  </si>
  <si>
    <t>6(26.1%)</t>
  </si>
  <si>
    <t>698(20.8%)</t>
  </si>
  <si>
    <t>14(26.9%)</t>
  </si>
  <si>
    <t>350(27.7%)</t>
  </si>
  <si>
    <t>2289(12.7%)</t>
  </si>
  <si>
    <t>1(3.8%)</t>
  </si>
  <si>
    <t>913(11.8%)</t>
  </si>
  <si>
    <t>3(13.0%)</t>
  </si>
  <si>
    <t>420(12.5%)</t>
  </si>
  <si>
    <t>4(7.7%)</t>
  </si>
  <si>
    <t>168(13.3%)</t>
  </si>
  <si>
    <t>6(15.4%)</t>
  </si>
  <si>
    <t>2607(14.4%)</t>
  </si>
  <si>
    <t>2(7.7%)</t>
  </si>
  <si>
    <t>1181(15.3%)</t>
  </si>
  <si>
    <t>4(17.4%)</t>
  </si>
  <si>
    <t>563(16.7%)</t>
  </si>
  <si>
    <t>5(9.6%)</t>
  </si>
  <si>
    <t>209(16.6%)</t>
  </si>
  <si>
    <t>14(35.9%)</t>
  </si>
  <si>
    <t>3568(19.7%)</t>
  </si>
  <si>
    <t>7(26.9%)</t>
  </si>
  <si>
    <t>1556(20.2%)</t>
  </si>
  <si>
    <t>722(21.5%)</t>
  </si>
  <si>
    <t>10(19.2%)</t>
  </si>
  <si>
    <t>263(20.8%)</t>
  </si>
  <si>
    <t>5791(32.1%)</t>
  </si>
  <si>
    <t>2685(34.8%)</t>
  </si>
  <si>
    <t>959(28.5%)</t>
  </si>
  <si>
    <t>19(36.5%)</t>
  </si>
  <si>
    <t>272(21.6%)</t>
  </si>
  <si>
    <t>ntp_use</t>
  </si>
  <si>
    <t>E-cigarettes</t>
  </si>
  <si>
    <t>13(50.0%)</t>
  </si>
  <si>
    <t>11(47.8%)</t>
  </si>
  <si>
    <t>15(28.8%)</t>
  </si>
  <si>
    <t>htp</t>
  </si>
  <si>
    <t>12(46.2%)</t>
  </si>
  <si>
    <t>12(52.2%)</t>
  </si>
  <si>
    <t>30(76.9%)</t>
  </si>
  <si>
    <t>both</t>
  </si>
  <si>
    <t>4629(25.6%)</t>
  </si>
  <si>
    <t>5(19.2%)</t>
  </si>
  <si>
    <t>1755(22.7%)</t>
  </si>
  <si>
    <t>16(30.8%)</t>
  </si>
  <si>
    <t>218(17.3%)</t>
  </si>
  <si>
    <t>10048(55.6%)</t>
  </si>
  <si>
    <t>14(53.8%)</t>
  </si>
  <si>
    <t>4290(55.6%)</t>
  </si>
  <si>
    <t>14(60.9%)</t>
  </si>
  <si>
    <t>1896(56.4%)</t>
  </si>
  <si>
    <t>30(57.7%)</t>
  </si>
  <si>
    <t>719(57.0%)</t>
  </si>
  <si>
    <t>19(48.7%)</t>
  </si>
  <si>
    <t>1867(10.3%)</t>
  </si>
  <si>
    <t>936(12.1%)</t>
  </si>
  <si>
    <t>365(10.9%)</t>
  </si>
  <si>
    <t>185(14.7%)</t>
  </si>
  <si>
    <t>1-2</t>
    <phoneticPr fontId="1" type="noConversion"/>
  </si>
  <si>
    <t>3-4</t>
    <phoneticPr fontId="1" type="noConversion"/>
  </si>
  <si>
    <t>&gt;=5</t>
    <phoneticPr fontId="1" type="noConversion"/>
  </si>
  <si>
    <t>cci_group</t>
  </si>
  <si>
    <t>5649(31.3%)</t>
  </si>
  <si>
    <t>9(34.6%)</t>
  </si>
  <si>
    <t>1853(24.0%)</t>
  </si>
  <si>
    <t>10(43.5%)</t>
  </si>
  <si>
    <t>938(27.9%)</t>
  </si>
  <si>
    <t>564(44.7%)</t>
  </si>
  <si>
    <t>1-2_times/week</t>
  </si>
  <si>
    <t>1702(9.4%)</t>
  </si>
  <si>
    <t>827(10.7%)</t>
  </si>
  <si>
    <t>415(12.3%)</t>
  </si>
  <si>
    <t>9(17.3%)</t>
  </si>
  <si>
    <t>123(9.7%)</t>
  </si>
  <si>
    <t>5(12.8%)</t>
  </si>
  <si>
    <t>3-4_times/week</t>
  </si>
  <si>
    <t>3330(18.4%)</t>
  </si>
  <si>
    <t>1378(17.9%)</t>
  </si>
  <si>
    <t>610(18.1%)</t>
  </si>
  <si>
    <t>156(12.4%)</t>
  </si>
  <si>
    <t>5-6_times/week</t>
  </si>
  <si>
    <t>3273(18.1%)</t>
  </si>
  <si>
    <t>1585(20.5%)</t>
  </si>
  <si>
    <t>600(17.8%)</t>
  </si>
  <si>
    <t>8(15.4%)</t>
  </si>
  <si>
    <t>158(12.5%)</t>
  </si>
  <si>
    <t>&gt;=7_times/week</t>
  </si>
  <si>
    <t>4113(22.8%)</t>
  </si>
  <si>
    <t>2076(26.9%)</t>
  </si>
  <si>
    <t>799(23.8%)</t>
  </si>
  <si>
    <t>11(21.2%)</t>
  </si>
  <si>
    <t>261(20.7%)</t>
  </si>
  <si>
    <t>8(20.5%)</t>
  </si>
  <si>
    <t>&lt;1_times/week</t>
    <phoneticPr fontId="1" type="noConversion"/>
  </si>
  <si>
    <t>PA_class</t>
  </si>
  <si>
    <t>active</t>
  </si>
  <si>
    <t>7681(42.5%)</t>
  </si>
  <si>
    <t>3816(49.4%)</t>
  </si>
  <si>
    <t>9(39.1%)</t>
  </si>
  <si>
    <t>1470(43.7%)</t>
  </si>
  <si>
    <t>434(34.4%)</t>
  </si>
  <si>
    <t>inactive</t>
  </si>
  <si>
    <t>10386(57.5%)</t>
  </si>
  <si>
    <t>3903(50.6%)</t>
  </si>
  <si>
    <t>1892(56.3%)</t>
  </si>
  <si>
    <t>828(65.6%)</t>
  </si>
  <si>
    <t>25(64.1%)</t>
  </si>
  <si>
    <t>activity</t>
  </si>
  <si>
    <t>Adenocarcinoma</t>
  </si>
  <si>
    <t>11464(63.5%)</t>
  </si>
  <si>
    <t>3491(45.2%)</t>
  </si>
  <si>
    <t>1303(38.8%)</t>
  </si>
  <si>
    <t>33(63.5%)</t>
  </si>
  <si>
    <t>430(34.1%)</t>
  </si>
  <si>
    <t>1532(8.5%)</t>
  </si>
  <si>
    <t>1882(24.4%)</t>
  </si>
  <si>
    <t>1004(29.9%)</t>
  </si>
  <si>
    <t>406(32.2%)</t>
  </si>
  <si>
    <t>15(38.5%)</t>
  </si>
  <si>
    <t>86(1.1%)</t>
  </si>
  <si>
    <t>46(1.4%)</t>
  </si>
  <si>
    <t>15(1.2%)</t>
  </si>
  <si>
    <t>79(0.4%)</t>
  </si>
  <si>
    <t>43(0.6%)</t>
  </si>
  <si>
    <t>21(0.6%)</t>
  </si>
  <si>
    <t>7(0.6%)</t>
  </si>
  <si>
    <t>61(0.3%)</t>
  </si>
  <si>
    <t>78(1.0%)</t>
  </si>
  <si>
    <t>34(1.0%)</t>
  </si>
  <si>
    <t>26(2.1%)</t>
  </si>
  <si>
    <t>4475(24.8%)</t>
  </si>
  <si>
    <t>1822(23.6%)</t>
  </si>
  <si>
    <t>710(21.1%)</t>
  </si>
  <si>
    <t>280(22.2%)</t>
  </si>
  <si>
    <t>7(17.9%)</t>
  </si>
  <si>
    <t>335(1.9%)</t>
  </si>
  <si>
    <t>317(4.1%)</t>
  </si>
  <si>
    <t>244(7.3%)</t>
  </si>
  <si>
    <t>2(3.8%)</t>
  </si>
  <si>
    <t>98(7.8%)</t>
  </si>
  <si>
    <t>Adenosquamous_carcinoma</t>
  </si>
  <si>
    <t>Sarcomatoid_carcinoma</t>
  </si>
  <si>
    <t>Large_cell_carcinoma</t>
  </si>
  <si>
    <t>Others_NOS</t>
  </si>
  <si>
    <t>Small_cell_cracinoma</t>
  </si>
  <si>
    <t>Squamous_cell_carcinoma</t>
  </si>
  <si>
    <t>121(0.7%)</t>
  </si>
  <si>
    <t>mcode_grp</t>
    <phoneticPr fontId="1" type="noConversion"/>
  </si>
  <si>
    <t>stage</t>
    <phoneticPr fontId="1" type="noConversion"/>
  </si>
  <si>
    <t>9590(53.1%)</t>
  </si>
  <si>
    <t>3607(46.7%)</t>
  </si>
  <si>
    <t>1434(42.7%)</t>
  </si>
  <si>
    <t>23(44.2%)</t>
  </si>
  <si>
    <t>598(47.4%)</t>
  </si>
  <si>
    <t>11(42.3%)</t>
  </si>
  <si>
    <t>2764(35.8%)</t>
  </si>
  <si>
    <t>1381(41.1%)</t>
  </si>
  <si>
    <t>451(35.7%)</t>
  </si>
  <si>
    <t>13(33.3%)</t>
  </si>
  <si>
    <t>2294(12.7%)</t>
  </si>
  <si>
    <t>1010(13.1%)</t>
  </si>
  <si>
    <t>403(12.0%)</t>
  </si>
  <si>
    <t>147(11.6%)</t>
  </si>
  <si>
    <t>722(4.0%)</t>
  </si>
  <si>
    <t>338(4.4%)</t>
  </si>
  <si>
    <t>144(4.3%)</t>
  </si>
  <si>
    <t>66(5.2%)</t>
  </si>
  <si>
    <t>surgery_yn</t>
  </si>
  <si>
    <t>13487(74.6%)</t>
  </si>
  <si>
    <t>16(61.5%)</t>
  </si>
  <si>
    <t>5403(70.0%)</t>
  </si>
  <si>
    <t>15(65.2%)</t>
  </si>
  <si>
    <t>2292(68.2%)</t>
  </si>
  <si>
    <t>37(71.2%)</t>
  </si>
  <si>
    <t>745(59.0%)</t>
  </si>
  <si>
    <t>radio_yn</t>
  </si>
  <si>
    <t>1536(8.5%)</t>
  </si>
  <si>
    <t>1103(14.3%)</t>
  </si>
  <si>
    <t>613(18.2%)</t>
  </si>
  <si>
    <t>227(18.0%)</t>
  </si>
  <si>
    <t>system_yn</t>
  </si>
  <si>
    <t>4719(26.1%)</t>
  </si>
  <si>
    <t>2524(32.7%)</t>
  </si>
  <si>
    <t>1281(38.1%)</t>
  </si>
  <si>
    <t>18(34.6%)</t>
  </si>
  <si>
    <t>401(31.8%)</t>
  </si>
  <si>
    <t>hr(95%ci)</t>
    <phoneticPr fontId="1" type="noConversion"/>
  </si>
  <si>
    <t>5.329704E-318</t>
    <phoneticPr fontId="1" type="noConversion"/>
  </si>
  <si>
    <t>smk_behavebefore_stop</t>
    <phoneticPr fontId="1" type="noConversion"/>
  </si>
  <si>
    <t xml:space="preserve">activityactive </t>
    <phoneticPr fontId="1" type="noConversion"/>
  </si>
  <si>
    <t xml:space="preserve">income4 </t>
    <phoneticPr fontId="1" type="noConversion"/>
  </si>
  <si>
    <t>1 ( 4.3%)</t>
    <phoneticPr fontId="1" type="noConversion"/>
  </si>
  <si>
    <t>1523(8.4%)</t>
  </si>
  <si>
    <t>738(9.6%)</t>
  </si>
  <si>
    <t>289(8.6%)</t>
  </si>
  <si>
    <t>140(11.1%)</t>
  </si>
  <si>
    <t>5461(30.2%)</t>
    <phoneticPr fontId="1" type="noConversion"/>
  </si>
  <si>
    <t>7(30.4%)</t>
    <phoneticPr fontId="1" type="noConversion"/>
  </si>
  <si>
    <t xml:space="preserve">336
140
0
108
0
48
1
39
0
</t>
    <phoneticPr fontId="1" type="noConversion"/>
  </si>
  <si>
    <t>smk_behaveNever</t>
  </si>
  <si>
    <t>smk_statusSmokingquittersafterNTuse</t>
  </si>
  <si>
    <t>smk_statusContinuoussmokers</t>
  </si>
  <si>
    <t>smk_statusSmokingquitterswithoutNTPuse</t>
  </si>
  <si>
    <t>Never</t>
  </si>
  <si>
    <t>before_stop</t>
  </si>
  <si>
    <t>after_stop</t>
  </si>
  <si>
    <t>NA</t>
  </si>
  <si>
    <t>current</t>
  </si>
  <si>
    <t>SmokingquitterswithoutNTPuse</t>
  </si>
  <si>
    <t>SmokingquittersafterNTPuse</t>
  </si>
  <si>
    <t>Continuoussmokers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</si>
</sst>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1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opLeftCell="A22" workbookViewId="0">
      <selection activeCell="M55" sqref="M55"/>
    </sheetView>
  </sheetViews>
  <sheetFormatPr defaultRowHeight="16.5" x14ac:dyDescent="0.3"/>
  <cols>
    <col min="1" max="1" width="41.625" customWidth="1"/>
    <col min="2" max="2" width="14.125" bestFit="1" customWidth="1"/>
    <col min="3" max="3" width="11" bestFit="1" customWidth="1"/>
    <col min="4" max="4" width="11.875" bestFit="1" customWidth="1"/>
    <col min="5" max="5" width="11" bestFit="1" customWidth="1"/>
    <col min="6" max="6" width="11.875" bestFit="1" customWidth="1"/>
    <col min="7" max="7" width="10.5" bestFit="1" customWidth="1"/>
    <col min="8" max="8" width="11.875" bestFit="1" customWidth="1"/>
  </cols>
  <sheetData>
    <row r="1" spans="1:9" x14ac:dyDescent="0.3">
      <c r="B1" t="s">
        <v>152</v>
      </c>
      <c r="C1" t="s">
        <v>153</v>
      </c>
      <c r="D1" t="s">
        <v>159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</row>
    <row r="2" spans="1:9" x14ac:dyDescent="0.3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</row>
    <row r="3" spans="1:9" x14ac:dyDescent="0.3">
      <c r="A3" t="s">
        <v>160</v>
      </c>
    </row>
    <row r="4" spans="1:9" x14ac:dyDescent="0.3">
      <c r="A4" t="s">
        <v>168</v>
      </c>
      <c r="B4" t="s">
        <v>161</v>
      </c>
      <c r="C4" t="s">
        <v>162</v>
      </c>
      <c r="D4" t="s">
        <v>163</v>
      </c>
      <c r="E4" t="s">
        <v>445</v>
      </c>
      <c r="F4" t="s">
        <v>164</v>
      </c>
      <c r="G4" t="s">
        <v>165</v>
      </c>
      <c r="H4" t="s">
        <v>166</v>
      </c>
      <c r="I4" t="s">
        <v>167</v>
      </c>
    </row>
    <row r="5" spans="1:9" x14ac:dyDescent="0.3">
      <c r="A5" t="s">
        <v>169</v>
      </c>
      <c r="B5" t="s">
        <v>170</v>
      </c>
      <c r="C5" t="s">
        <v>171</v>
      </c>
      <c r="D5" t="s">
        <v>172</v>
      </c>
      <c r="E5" t="s">
        <v>173</v>
      </c>
      <c r="F5" t="s">
        <v>174</v>
      </c>
      <c r="G5" t="s">
        <v>175</v>
      </c>
      <c r="H5" t="s">
        <v>176</v>
      </c>
      <c r="I5" t="s">
        <v>177</v>
      </c>
    </row>
    <row r="6" spans="1:9" x14ac:dyDescent="0.3">
      <c r="A6" t="s">
        <v>178</v>
      </c>
      <c r="B6" t="s">
        <v>181</v>
      </c>
      <c r="C6" t="s">
        <v>182</v>
      </c>
      <c r="D6" t="s">
        <v>183</v>
      </c>
      <c r="E6" t="s">
        <v>184</v>
      </c>
      <c r="F6" t="s">
        <v>185</v>
      </c>
      <c r="G6" t="s">
        <v>186</v>
      </c>
      <c r="H6" t="s">
        <v>187</v>
      </c>
      <c r="I6" t="s">
        <v>188</v>
      </c>
    </row>
    <row r="7" spans="1:9" x14ac:dyDescent="0.3">
      <c r="A7" t="s">
        <v>179</v>
      </c>
      <c r="B7" t="s">
        <v>189</v>
      </c>
      <c r="C7" t="s">
        <v>190</v>
      </c>
      <c r="D7" t="s">
        <v>191</v>
      </c>
      <c r="E7" t="s">
        <v>192</v>
      </c>
      <c r="F7" t="s">
        <v>193</v>
      </c>
      <c r="G7" t="s">
        <v>194</v>
      </c>
      <c r="H7" t="s">
        <v>195</v>
      </c>
      <c r="I7" t="s">
        <v>196</v>
      </c>
    </row>
    <row r="8" spans="1:9" x14ac:dyDescent="0.3">
      <c r="A8" t="s">
        <v>180</v>
      </c>
      <c r="B8" t="s">
        <v>203</v>
      </c>
      <c r="C8" t="s">
        <v>197</v>
      </c>
      <c r="D8" t="s">
        <v>198</v>
      </c>
      <c r="E8" t="s">
        <v>199</v>
      </c>
      <c r="F8" t="s">
        <v>200</v>
      </c>
      <c r="G8" t="s">
        <v>204</v>
      </c>
      <c r="H8" t="s">
        <v>201</v>
      </c>
      <c r="I8" t="s">
        <v>202</v>
      </c>
    </row>
    <row r="9" spans="1:9" x14ac:dyDescent="0.3">
      <c r="A9" t="s">
        <v>205</v>
      </c>
    </row>
    <row r="10" spans="1:9" x14ac:dyDescent="0.3">
      <c r="A10">
        <v>1</v>
      </c>
      <c r="B10" t="s">
        <v>206</v>
      </c>
      <c r="C10" t="s">
        <v>207</v>
      </c>
      <c r="D10" t="s">
        <v>208</v>
      </c>
      <c r="E10" t="s">
        <v>209</v>
      </c>
      <c r="F10" t="s">
        <v>210</v>
      </c>
      <c r="G10" t="s">
        <v>211</v>
      </c>
      <c r="H10" t="s">
        <v>212</v>
      </c>
      <c r="I10" t="s">
        <v>213</v>
      </c>
    </row>
    <row r="11" spans="1:9" x14ac:dyDescent="0.3">
      <c r="A11">
        <v>2</v>
      </c>
      <c r="B11" t="s">
        <v>214</v>
      </c>
      <c r="C11" t="s">
        <v>197</v>
      </c>
      <c r="D11" t="s">
        <v>215</v>
      </c>
      <c r="E11" t="s">
        <v>216</v>
      </c>
      <c r="F11" t="s">
        <v>217</v>
      </c>
      <c r="G11" t="s">
        <v>218</v>
      </c>
      <c r="H11" t="s">
        <v>219</v>
      </c>
      <c r="I11" t="s">
        <v>220</v>
      </c>
    </row>
    <row r="12" spans="1:9" x14ac:dyDescent="0.3">
      <c r="A12" t="s">
        <v>61</v>
      </c>
      <c r="B12" t="s">
        <v>230</v>
      </c>
      <c r="C12" t="s">
        <v>230</v>
      </c>
      <c r="D12" t="s">
        <v>221</v>
      </c>
      <c r="E12" t="s">
        <v>222</v>
      </c>
      <c r="F12" t="s">
        <v>223</v>
      </c>
      <c r="G12" t="s">
        <v>224</v>
      </c>
      <c r="H12" t="s">
        <v>225</v>
      </c>
      <c r="I12" t="s">
        <v>226</v>
      </c>
    </row>
    <row r="13" spans="1:9" x14ac:dyDescent="0.3">
      <c r="A13" t="s">
        <v>227</v>
      </c>
    </row>
    <row r="14" spans="1:9" x14ac:dyDescent="0.3">
      <c r="A14" t="s">
        <v>228</v>
      </c>
      <c r="B14" t="s">
        <v>231</v>
      </c>
      <c r="C14" t="s">
        <v>232</v>
      </c>
      <c r="D14" t="s">
        <v>233</v>
      </c>
      <c r="E14" t="s">
        <v>173</v>
      </c>
      <c r="F14" t="s">
        <v>234</v>
      </c>
      <c r="G14" t="s">
        <v>235</v>
      </c>
      <c r="H14" t="s">
        <v>236</v>
      </c>
      <c r="I14" t="s">
        <v>237</v>
      </c>
    </row>
    <row r="15" spans="1:9" x14ac:dyDescent="0.3">
      <c r="A15" t="s">
        <v>229</v>
      </c>
      <c r="B15" t="s">
        <v>238</v>
      </c>
      <c r="C15" t="s">
        <v>238</v>
      </c>
      <c r="D15" t="s">
        <v>239</v>
      </c>
      <c r="E15" t="s">
        <v>240</v>
      </c>
      <c r="F15" t="s">
        <v>241</v>
      </c>
      <c r="G15" t="s">
        <v>242</v>
      </c>
      <c r="H15" t="s">
        <v>243</v>
      </c>
      <c r="I15" t="s">
        <v>244</v>
      </c>
    </row>
    <row r="16" spans="1:9" x14ac:dyDescent="0.3">
      <c r="A16" t="s">
        <v>62</v>
      </c>
      <c r="B16" t="s">
        <v>245</v>
      </c>
      <c r="C16" t="s">
        <v>246</v>
      </c>
      <c r="D16" t="s">
        <v>247</v>
      </c>
      <c r="E16" t="s">
        <v>248</v>
      </c>
      <c r="F16" t="s">
        <v>249</v>
      </c>
      <c r="G16" t="s">
        <v>249</v>
      </c>
      <c r="H16" t="s">
        <v>250</v>
      </c>
      <c r="I16" t="s">
        <v>251</v>
      </c>
    </row>
    <row r="17" spans="1:9" x14ac:dyDescent="0.3">
      <c r="A17" t="s">
        <v>105</v>
      </c>
    </row>
    <row r="18" spans="1:9" x14ac:dyDescent="0.3">
      <c r="A18">
        <v>5</v>
      </c>
      <c r="B18" t="s">
        <v>280</v>
      </c>
      <c r="C18" t="s">
        <v>171</v>
      </c>
      <c r="D18" t="s">
        <v>281</v>
      </c>
      <c r="E18" t="s">
        <v>254</v>
      </c>
      <c r="F18" t="s">
        <v>282</v>
      </c>
      <c r="G18" t="s">
        <v>283</v>
      </c>
      <c r="H18" t="s">
        <v>284</v>
      </c>
      <c r="I18" t="s">
        <v>265</v>
      </c>
    </row>
    <row r="19" spans="1:9" x14ac:dyDescent="0.3">
      <c r="A19">
        <v>4</v>
      </c>
      <c r="B19" t="s">
        <v>274</v>
      </c>
      <c r="C19" t="s">
        <v>275</v>
      </c>
      <c r="D19" t="s">
        <v>276</v>
      </c>
      <c r="E19" t="s">
        <v>269</v>
      </c>
      <c r="F19" t="s">
        <v>277</v>
      </c>
      <c r="G19" t="s">
        <v>278</v>
      </c>
      <c r="H19" t="s">
        <v>279</v>
      </c>
      <c r="I19" t="s">
        <v>202</v>
      </c>
    </row>
    <row r="20" spans="1:9" x14ac:dyDescent="0.3">
      <c r="A20">
        <v>3</v>
      </c>
      <c r="B20" t="s">
        <v>266</v>
      </c>
      <c r="C20" t="s">
        <v>267</v>
      </c>
      <c r="D20" t="s">
        <v>268</v>
      </c>
      <c r="E20" t="s">
        <v>269</v>
      </c>
      <c r="F20" t="s">
        <v>270</v>
      </c>
      <c r="G20" t="s">
        <v>271</v>
      </c>
      <c r="H20" t="s">
        <v>272</v>
      </c>
      <c r="I20" t="s">
        <v>273</v>
      </c>
    </row>
    <row r="21" spans="1:9" x14ac:dyDescent="0.3">
      <c r="A21">
        <v>2</v>
      </c>
      <c r="B21" t="s">
        <v>258</v>
      </c>
      <c r="C21" t="s">
        <v>259</v>
      </c>
      <c r="D21" t="s">
        <v>260</v>
      </c>
      <c r="E21" t="s">
        <v>261</v>
      </c>
      <c r="F21" t="s">
        <v>262</v>
      </c>
      <c r="G21" t="s">
        <v>263</v>
      </c>
      <c r="H21" t="s">
        <v>264</v>
      </c>
      <c r="I21" t="s">
        <v>265</v>
      </c>
    </row>
    <row r="22" spans="1:9" x14ac:dyDescent="0.3">
      <c r="A22">
        <v>1</v>
      </c>
      <c r="B22" t="s">
        <v>252</v>
      </c>
      <c r="C22" t="s">
        <v>171</v>
      </c>
      <c r="D22" t="s">
        <v>253</v>
      </c>
      <c r="E22" t="s">
        <v>254</v>
      </c>
      <c r="F22" t="s">
        <v>255</v>
      </c>
      <c r="G22" t="s">
        <v>256</v>
      </c>
      <c r="H22" t="s">
        <v>257</v>
      </c>
      <c r="I22" t="s">
        <v>177</v>
      </c>
    </row>
    <row r="23" spans="1:9" x14ac:dyDescent="0.3">
      <c r="A23" t="s">
        <v>285</v>
      </c>
    </row>
    <row r="24" spans="1:9" x14ac:dyDescent="0.3">
      <c r="A24" t="s">
        <v>286</v>
      </c>
      <c r="B24" t="s">
        <v>238</v>
      </c>
      <c r="C24" t="s">
        <v>287</v>
      </c>
      <c r="D24" t="s">
        <v>238</v>
      </c>
      <c r="E24" t="s">
        <v>288</v>
      </c>
      <c r="F24" t="s">
        <v>238</v>
      </c>
      <c r="G24" t="s">
        <v>289</v>
      </c>
      <c r="H24" t="s">
        <v>238</v>
      </c>
      <c r="I24" t="s">
        <v>265</v>
      </c>
    </row>
    <row r="25" spans="1:9" x14ac:dyDescent="0.3">
      <c r="A25" t="s">
        <v>290</v>
      </c>
      <c r="B25" t="s">
        <v>238</v>
      </c>
      <c r="C25" t="s">
        <v>291</v>
      </c>
      <c r="D25" t="s">
        <v>238</v>
      </c>
      <c r="E25" t="s">
        <v>292</v>
      </c>
      <c r="F25" t="s">
        <v>238</v>
      </c>
      <c r="G25" t="s">
        <v>242</v>
      </c>
      <c r="H25" t="s">
        <v>238</v>
      </c>
      <c r="I25" t="s">
        <v>293</v>
      </c>
    </row>
    <row r="26" spans="1:9" x14ac:dyDescent="0.3">
      <c r="A26" t="s">
        <v>294</v>
      </c>
      <c r="B26" t="s">
        <v>238</v>
      </c>
      <c r="C26" t="s">
        <v>259</v>
      </c>
      <c r="D26" t="s">
        <v>238</v>
      </c>
      <c r="E26" t="s">
        <v>238</v>
      </c>
      <c r="F26" t="s">
        <v>238</v>
      </c>
      <c r="G26" t="s">
        <v>271</v>
      </c>
      <c r="H26" t="s">
        <v>238</v>
      </c>
      <c r="I26" t="s">
        <v>220</v>
      </c>
    </row>
    <row r="27" spans="1:9" x14ac:dyDescent="0.3">
      <c r="A27" t="s">
        <v>315</v>
      </c>
    </row>
    <row r="28" spans="1:9" x14ac:dyDescent="0.3">
      <c r="A28" s="2">
        <v>0</v>
      </c>
      <c r="B28" t="s">
        <v>295</v>
      </c>
      <c r="C28" t="s">
        <v>296</v>
      </c>
      <c r="D28" t="s">
        <v>297</v>
      </c>
      <c r="E28" t="s">
        <v>261</v>
      </c>
      <c r="F28" t="s">
        <v>174</v>
      </c>
      <c r="G28" t="s">
        <v>298</v>
      </c>
      <c r="H28" t="s">
        <v>299</v>
      </c>
      <c r="I28" t="s">
        <v>177</v>
      </c>
    </row>
    <row r="29" spans="1:9" x14ac:dyDescent="0.3">
      <c r="A29" s="2" t="s">
        <v>312</v>
      </c>
      <c r="B29" t="s">
        <v>300</v>
      </c>
      <c r="C29" t="s">
        <v>301</v>
      </c>
      <c r="D29" t="s">
        <v>302</v>
      </c>
      <c r="E29" t="s">
        <v>303</v>
      </c>
      <c r="F29" t="s">
        <v>304</v>
      </c>
      <c r="G29" t="s">
        <v>305</v>
      </c>
      <c r="H29" t="s">
        <v>306</v>
      </c>
      <c r="I29" t="s">
        <v>307</v>
      </c>
    </row>
    <row r="30" spans="1:9" x14ac:dyDescent="0.3">
      <c r="A30" s="2" t="s">
        <v>313</v>
      </c>
      <c r="B30" t="s">
        <v>308</v>
      </c>
      <c r="C30" t="s">
        <v>296</v>
      </c>
      <c r="D30" t="s">
        <v>309</v>
      </c>
      <c r="E30" t="s">
        <v>199</v>
      </c>
      <c r="F30" t="s">
        <v>310</v>
      </c>
      <c r="G30" t="s">
        <v>194</v>
      </c>
      <c r="H30" t="s">
        <v>311</v>
      </c>
      <c r="I30" t="s">
        <v>265</v>
      </c>
    </row>
    <row r="31" spans="1:9" x14ac:dyDescent="0.3">
      <c r="A31" s="2" t="s">
        <v>314</v>
      </c>
      <c r="B31" t="s">
        <v>446</v>
      </c>
      <c r="C31" t="s">
        <v>267</v>
      </c>
      <c r="D31" t="s">
        <v>447</v>
      </c>
      <c r="E31" t="s">
        <v>269</v>
      </c>
      <c r="F31" t="s">
        <v>448</v>
      </c>
      <c r="G31" t="s">
        <v>194</v>
      </c>
      <c r="H31" t="s">
        <v>449</v>
      </c>
      <c r="I31" t="s">
        <v>220</v>
      </c>
    </row>
    <row r="32" spans="1:9" x14ac:dyDescent="0.3">
      <c r="A32" t="s">
        <v>348</v>
      </c>
    </row>
    <row r="33" spans="1:9" x14ac:dyDescent="0.3">
      <c r="A33" t="s">
        <v>347</v>
      </c>
      <c r="B33" t="s">
        <v>316</v>
      </c>
      <c r="C33" t="s">
        <v>317</v>
      </c>
      <c r="D33" t="s">
        <v>318</v>
      </c>
      <c r="E33" t="s">
        <v>319</v>
      </c>
      <c r="F33" t="s">
        <v>320</v>
      </c>
      <c r="G33" t="s">
        <v>256</v>
      </c>
      <c r="H33" t="s">
        <v>321</v>
      </c>
      <c r="I33" t="s">
        <v>237</v>
      </c>
    </row>
    <row r="34" spans="1:9" x14ac:dyDescent="0.3">
      <c r="A34" t="s">
        <v>322</v>
      </c>
      <c r="B34" t="s">
        <v>323</v>
      </c>
      <c r="C34" t="s">
        <v>267</v>
      </c>
      <c r="D34" t="s">
        <v>324</v>
      </c>
      <c r="E34" t="s">
        <v>199</v>
      </c>
      <c r="F34" t="s">
        <v>325</v>
      </c>
      <c r="G34" t="s">
        <v>326</v>
      </c>
      <c r="H34" t="s">
        <v>327</v>
      </c>
      <c r="I34" t="s">
        <v>328</v>
      </c>
    </row>
    <row r="35" spans="1:9" x14ac:dyDescent="0.3">
      <c r="A35" t="s">
        <v>329</v>
      </c>
      <c r="B35" t="s">
        <v>330</v>
      </c>
      <c r="C35" t="s">
        <v>197</v>
      </c>
      <c r="D35" t="s">
        <v>331</v>
      </c>
      <c r="E35" t="s">
        <v>199</v>
      </c>
      <c r="F35" t="s">
        <v>332</v>
      </c>
      <c r="G35" t="s">
        <v>278</v>
      </c>
      <c r="H35" t="s">
        <v>333</v>
      </c>
      <c r="I35" t="s">
        <v>196</v>
      </c>
    </row>
    <row r="36" spans="1:9" x14ac:dyDescent="0.3">
      <c r="A36" t="s">
        <v>334</v>
      </c>
      <c r="B36" t="s">
        <v>335</v>
      </c>
      <c r="C36" t="s">
        <v>197</v>
      </c>
      <c r="D36" t="s">
        <v>336</v>
      </c>
      <c r="E36" t="s">
        <v>261</v>
      </c>
      <c r="F36" t="s">
        <v>337</v>
      </c>
      <c r="G36" t="s">
        <v>338</v>
      </c>
      <c r="H36" t="s">
        <v>339</v>
      </c>
      <c r="I36" t="s">
        <v>328</v>
      </c>
    </row>
    <row r="37" spans="1:9" x14ac:dyDescent="0.3">
      <c r="A37" t="s">
        <v>340</v>
      </c>
      <c r="B37" t="s">
        <v>341</v>
      </c>
      <c r="C37" t="s">
        <v>275</v>
      </c>
      <c r="D37" t="s">
        <v>342</v>
      </c>
      <c r="E37" t="s">
        <v>254</v>
      </c>
      <c r="F37" t="s">
        <v>343</v>
      </c>
      <c r="G37" t="s">
        <v>344</v>
      </c>
      <c r="H37" t="s">
        <v>345</v>
      </c>
      <c r="I37" t="s">
        <v>346</v>
      </c>
    </row>
    <row r="38" spans="1:9" x14ac:dyDescent="0.3">
      <c r="A38" t="s">
        <v>361</v>
      </c>
    </row>
    <row r="39" spans="1:9" x14ac:dyDescent="0.3">
      <c r="A39" t="s">
        <v>349</v>
      </c>
      <c r="B39" t="s">
        <v>350</v>
      </c>
      <c r="C39" t="s">
        <v>291</v>
      </c>
      <c r="D39" t="s">
        <v>351</v>
      </c>
      <c r="E39" t="s">
        <v>352</v>
      </c>
      <c r="F39" t="s">
        <v>353</v>
      </c>
      <c r="G39" t="s">
        <v>175</v>
      </c>
      <c r="H39" t="s">
        <v>354</v>
      </c>
      <c r="I39" t="s">
        <v>273</v>
      </c>
    </row>
    <row r="40" spans="1:9" x14ac:dyDescent="0.3">
      <c r="A40" t="s">
        <v>355</v>
      </c>
      <c r="B40" t="s">
        <v>356</v>
      </c>
      <c r="C40" t="s">
        <v>301</v>
      </c>
      <c r="D40" t="s">
        <v>357</v>
      </c>
      <c r="E40" t="s">
        <v>303</v>
      </c>
      <c r="F40" t="s">
        <v>358</v>
      </c>
      <c r="G40" t="s">
        <v>305</v>
      </c>
      <c r="H40" t="s">
        <v>359</v>
      </c>
      <c r="I40" t="s">
        <v>360</v>
      </c>
    </row>
    <row r="41" spans="1:9" x14ac:dyDescent="0.3">
      <c r="A41" t="s">
        <v>401</v>
      </c>
    </row>
    <row r="42" spans="1:9" x14ac:dyDescent="0.3">
      <c r="A42" t="s">
        <v>362</v>
      </c>
      <c r="B42" t="s">
        <v>363</v>
      </c>
      <c r="C42" t="s">
        <v>317</v>
      </c>
      <c r="D42" t="s">
        <v>364</v>
      </c>
      <c r="E42" t="s">
        <v>173</v>
      </c>
      <c r="F42" t="s">
        <v>365</v>
      </c>
      <c r="G42" t="s">
        <v>366</v>
      </c>
      <c r="H42" t="s">
        <v>367</v>
      </c>
      <c r="I42" t="s">
        <v>273</v>
      </c>
    </row>
    <row r="43" spans="1:9" x14ac:dyDescent="0.3">
      <c r="A43" t="s">
        <v>399</v>
      </c>
      <c r="B43" t="s">
        <v>368</v>
      </c>
      <c r="C43" t="s">
        <v>182</v>
      </c>
      <c r="D43" t="s">
        <v>369</v>
      </c>
      <c r="E43" t="s">
        <v>173</v>
      </c>
      <c r="F43" t="s">
        <v>370</v>
      </c>
      <c r="G43" t="s">
        <v>326</v>
      </c>
      <c r="H43" t="s">
        <v>371</v>
      </c>
      <c r="I43" t="s">
        <v>372</v>
      </c>
    </row>
    <row r="44" spans="1:9" x14ac:dyDescent="0.3">
      <c r="A44" t="s">
        <v>394</v>
      </c>
      <c r="B44" t="s">
        <v>400</v>
      </c>
      <c r="C44" t="s">
        <v>238</v>
      </c>
      <c r="D44" t="s">
        <v>373</v>
      </c>
      <c r="E44" t="s">
        <v>238</v>
      </c>
      <c r="F44" t="s">
        <v>374</v>
      </c>
      <c r="G44" t="s">
        <v>238</v>
      </c>
      <c r="H44" t="s">
        <v>375</v>
      </c>
      <c r="I44" t="s">
        <v>238</v>
      </c>
    </row>
    <row r="45" spans="1:9" x14ac:dyDescent="0.3">
      <c r="A45" t="s">
        <v>395</v>
      </c>
      <c r="B45" t="s">
        <v>376</v>
      </c>
      <c r="C45" t="s">
        <v>238</v>
      </c>
      <c r="D45" t="s">
        <v>377</v>
      </c>
      <c r="E45" t="s">
        <v>238</v>
      </c>
      <c r="F45" t="s">
        <v>378</v>
      </c>
      <c r="G45" t="s">
        <v>238</v>
      </c>
      <c r="H45" t="s">
        <v>379</v>
      </c>
      <c r="I45" t="s">
        <v>238</v>
      </c>
    </row>
    <row r="46" spans="1:9" x14ac:dyDescent="0.3">
      <c r="A46" t="s">
        <v>396</v>
      </c>
      <c r="B46" t="s">
        <v>380</v>
      </c>
      <c r="C46" t="s">
        <v>238</v>
      </c>
      <c r="D46" t="s">
        <v>381</v>
      </c>
      <c r="E46" t="s">
        <v>238</v>
      </c>
      <c r="F46" t="s">
        <v>382</v>
      </c>
      <c r="G46" t="s">
        <v>238</v>
      </c>
      <c r="H46" t="s">
        <v>383</v>
      </c>
      <c r="I46" t="s">
        <v>238</v>
      </c>
    </row>
    <row r="47" spans="1:9" x14ac:dyDescent="0.3">
      <c r="A47" t="s">
        <v>397</v>
      </c>
      <c r="B47" t="s">
        <v>384</v>
      </c>
      <c r="C47" t="s">
        <v>275</v>
      </c>
      <c r="D47" t="s">
        <v>385</v>
      </c>
      <c r="E47" t="s">
        <v>184</v>
      </c>
      <c r="F47" t="s">
        <v>386</v>
      </c>
      <c r="G47" t="s">
        <v>338</v>
      </c>
      <c r="H47" t="s">
        <v>387</v>
      </c>
      <c r="I47" t="s">
        <v>388</v>
      </c>
    </row>
    <row r="48" spans="1:9" x14ac:dyDescent="0.3">
      <c r="A48" t="s">
        <v>398</v>
      </c>
      <c r="B48" t="s">
        <v>389</v>
      </c>
      <c r="C48" t="s">
        <v>238</v>
      </c>
      <c r="D48" t="s">
        <v>390</v>
      </c>
      <c r="E48" t="s">
        <v>216</v>
      </c>
      <c r="F48" t="s">
        <v>391</v>
      </c>
      <c r="G48" t="s">
        <v>392</v>
      </c>
      <c r="H48" t="s">
        <v>393</v>
      </c>
      <c r="I48" t="s">
        <v>220</v>
      </c>
    </row>
    <row r="50" spans="1:9" x14ac:dyDescent="0.3">
      <c r="A50" t="s">
        <v>402</v>
      </c>
    </row>
    <row r="51" spans="1:9" x14ac:dyDescent="0.3">
      <c r="A51">
        <v>1</v>
      </c>
      <c r="B51" t="s">
        <v>403</v>
      </c>
      <c r="C51" t="s">
        <v>287</v>
      </c>
      <c r="D51" t="s">
        <v>404</v>
      </c>
      <c r="E51" t="s">
        <v>319</v>
      </c>
      <c r="F51" t="s">
        <v>405</v>
      </c>
      <c r="G51" t="s">
        <v>406</v>
      </c>
      <c r="H51" t="s">
        <v>407</v>
      </c>
      <c r="I51" t="s">
        <v>307</v>
      </c>
    </row>
    <row r="52" spans="1:9" x14ac:dyDescent="0.3">
      <c r="A52">
        <v>2</v>
      </c>
      <c r="B52" t="s">
        <v>450</v>
      </c>
      <c r="C52" t="s">
        <v>408</v>
      </c>
      <c r="D52" t="s">
        <v>409</v>
      </c>
      <c r="E52" t="s">
        <v>451</v>
      </c>
      <c r="F52" t="s">
        <v>410</v>
      </c>
      <c r="G52" t="s">
        <v>186</v>
      </c>
      <c r="H52" t="s">
        <v>411</v>
      </c>
      <c r="I52" t="s">
        <v>412</v>
      </c>
    </row>
    <row r="53" spans="1:9" x14ac:dyDescent="0.3">
      <c r="A53">
        <v>7</v>
      </c>
      <c r="B53" t="s">
        <v>413</v>
      </c>
      <c r="C53" t="s">
        <v>238</v>
      </c>
      <c r="D53" t="s">
        <v>414</v>
      </c>
      <c r="E53" t="s">
        <v>192</v>
      </c>
      <c r="F53" t="s">
        <v>415</v>
      </c>
      <c r="G53" t="s">
        <v>278</v>
      </c>
      <c r="H53" t="s">
        <v>416</v>
      </c>
      <c r="I53" t="s">
        <v>388</v>
      </c>
    </row>
    <row r="54" spans="1:9" x14ac:dyDescent="0.3">
      <c r="A54">
        <v>9</v>
      </c>
      <c r="B54" t="s">
        <v>417</v>
      </c>
      <c r="C54" t="s">
        <v>267</v>
      </c>
      <c r="D54" t="s">
        <v>418</v>
      </c>
      <c r="E54" t="s">
        <v>216</v>
      </c>
      <c r="F54" t="s">
        <v>419</v>
      </c>
      <c r="G54" t="s">
        <v>392</v>
      </c>
      <c r="H54" t="s">
        <v>420</v>
      </c>
      <c r="I54" t="s">
        <v>238</v>
      </c>
    </row>
    <row r="55" spans="1:9" x14ac:dyDescent="0.3">
      <c r="A55" t="s">
        <v>421</v>
      </c>
      <c r="B55" t="s">
        <v>422</v>
      </c>
      <c r="C55" t="s">
        <v>423</v>
      </c>
      <c r="D55" t="s">
        <v>424</v>
      </c>
      <c r="E55" t="s">
        <v>425</v>
      </c>
      <c r="F55" t="s">
        <v>426</v>
      </c>
      <c r="G55" t="s">
        <v>427</v>
      </c>
      <c r="H55" t="s">
        <v>428</v>
      </c>
      <c r="I55" t="s">
        <v>244</v>
      </c>
    </row>
    <row r="56" spans="1:9" x14ac:dyDescent="0.3">
      <c r="A56" t="s">
        <v>429</v>
      </c>
      <c r="B56" t="s">
        <v>430</v>
      </c>
      <c r="C56" t="s">
        <v>190</v>
      </c>
      <c r="D56" t="s">
        <v>431</v>
      </c>
      <c r="E56" t="s">
        <v>254</v>
      </c>
      <c r="F56" t="s">
        <v>432</v>
      </c>
      <c r="G56" t="s">
        <v>194</v>
      </c>
      <c r="H56" t="s">
        <v>433</v>
      </c>
      <c r="I56" t="s">
        <v>346</v>
      </c>
    </row>
    <row r="57" spans="1:9" x14ac:dyDescent="0.3">
      <c r="A57" t="s">
        <v>434</v>
      </c>
      <c r="B57" t="s">
        <v>435</v>
      </c>
      <c r="C57" t="s">
        <v>296</v>
      </c>
      <c r="D57" t="s">
        <v>436</v>
      </c>
      <c r="E57" t="s">
        <v>292</v>
      </c>
      <c r="F57" t="s">
        <v>437</v>
      </c>
      <c r="G57" t="s">
        <v>438</v>
      </c>
      <c r="H57" t="s">
        <v>439</v>
      </c>
      <c r="I57" t="s">
        <v>273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opLeftCell="A19" workbookViewId="0">
      <selection activeCell="J35" sqref="J35"/>
    </sheetView>
  </sheetViews>
  <sheetFormatPr defaultRowHeight="16.5" x14ac:dyDescent="0.3"/>
  <cols>
    <col min="1" max="1" width="22.875" bestFit="1" customWidth="1"/>
    <col min="2" max="4" width="10.5" bestFit="1" customWidth="1"/>
    <col min="6" max="6" width="16.25" bestFit="1" customWidth="1"/>
    <col min="10" max="10" width="20.625" bestFit="1" customWidth="1"/>
    <col min="11" max="13" width="10.5" bestFit="1" customWidth="1"/>
    <col min="14" max="14" width="8.625" bestFit="1" customWidth="1"/>
    <col min="15" max="15" width="16.25" bestFit="1" customWidth="1"/>
  </cols>
  <sheetData>
    <row r="1" spans="1:17" x14ac:dyDescent="0.3">
      <c r="A1" t="s">
        <v>87</v>
      </c>
      <c r="J1" t="s">
        <v>104</v>
      </c>
    </row>
    <row r="4" spans="1:17" x14ac:dyDescent="0.3">
      <c r="B4" t="s">
        <v>88</v>
      </c>
      <c r="C4" t="s">
        <v>89</v>
      </c>
      <c r="D4" t="s">
        <v>90</v>
      </c>
      <c r="E4" t="s">
        <v>1</v>
      </c>
      <c r="F4" t="s">
        <v>91</v>
      </c>
      <c r="G4" t="s">
        <v>92</v>
      </c>
      <c r="K4" t="s">
        <v>88</v>
      </c>
      <c r="L4" t="s">
        <v>89</v>
      </c>
      <c r="M4" t="s">
        <v>90</v>
      </c>
      <c r="N4" t="s">
        <v>1</v>
      </c>
      <c r="O4" t="s">
        <v>91</v>
      </c>
      <c r="P4" t="s">
        <v>92</v>
      </c>
    </row>
    <row r="5" spans="1:17" x14ac:dyDescent="0.3">
      <c r="A5" t="s">
        <v>94</v>
      </c>
      <c r="B5">
        <v>0.96234439999999999</v>
      </c>
      <c r="C5">
        <v>0.95535729999999996</v>
      </c>
      <c r="D5">
        <v>0.96928669999999995</v>
      </c>
      <c r="E5" s="1">
        <v>2.5824250000000001E-25</v>
      </c>
      <c r="F5" t="str">
        <f>ROUND($B5,2)&amp;"("&amp;ROUND($C5,2)&amp;"-"&amp;ROUND($D5,2)&amp;")"</f>
        <v>0.96(0.96-0.97)</v>
      </c>
      <c r="G5" t="str">
        <f>IF($E5&lt;0.001,"&lt;0.001",ROUND($E5,3))</f>
        <v>&lt;0.001</v>
      </c>
      <c r="J5" t="s">
        <v>59</v>
      </c>
      <c r="K5">
        <v>0.95693660000000003</v>
      </c>
      <c r="L5">
        <v>0.94945659999999998</v>
      </c>
      <c r="M5">
        <v>0.96437070000000003</v>
      </c>
      <c r="N5" s="1">
        <v>1.694912E-28</v>
      </c>
      <c r="O5" t="str">
        <f>ROUND($K5,2)&amp;"("&amp;ROUND($L5,2)&amp;"-"&amp;ROUND($M5,2)&amp;")"</f>
        <v>0.96(0.95-0.96)</v>
      </c>
      <c r="P5" t="str">
        <f>IF($N5&lt;0.001,"&lt;0.001",ROUND($N5,3))</f>
        <v>&lt;0.001</v>
      </c>
    </row>
    <row r="6" spans="1:17" x14ac:dyDescent="0.3">
      <c r="A6" t="s">
        <v>93</v>
      </c>
      <c r="B6">
        <v>0.92183990000000005</v>
      </c>
      <c r="C6">
        <v>0.69501199999999996</v>
      </c>
      <c r="D6">
        <v>1.20949</v>
      </c>
      <c r="E6" s="1">
        <v>0.56415409999999999</v>
      </c>
      <c r="F6" t="str">
        <f t="shared" ref="F6:F18" si="0">ROUND($B6,2)&amp;"("&amp;ROUND($C6,2)&amp;"-"&amp;ROUND($D6,2)&amp;")"</f>
        <v>0.92(0.7-1.21)</v>
      </c>
      <c r="G6">
        <f t="shared" ref="G6:G18" si="1">IF($E6&lt;0.001,"&lt;0.001",ROUND($E6,3))</f>
        <v>0.56399999999999995</v>
      </c>
      <c r="J6" t="s">
        <v>61</v>
      </c>
      <c r="K6">
        <v>1.0245401000000001</v>
      </c>
      <c r="L6">
        <v>1.0209566999999999</v>
      </c>
      <c r="M6">
        <v>1.0282202</v>
      </c>
      <c r="N6" s="1">
        <v>5.5601259999999997E-41</v>
      </c>
      <c r="O6" t="str">
        <f t="shared" ref="O6:O15" si="2">ROUND($K6,2)&amp;"("&amp;ROUND($L6,2)&amp;"-"&amp;ROUND($M6,2)&amp;")"</f>
        <v>1.02(1.02-1.03)</v>
      </c>
      <c r="P6" t="str">
        <f t="shared" ref="P6:P15" si="3">IF($N6&lt;0.001,"&lt;0.001",ROUND($N6,3))</f>
        <v>&lt;0.001</v>
      </c>
    </row>
    <row r="7" spans="1:17" x14ac:dyDescent="0.3">
      <c r="A7" t="s">
        <v>95</v>
      </c>
      <c r="B7">
        <v>1.0188010000000001</v>
      </c>
      <c r="C7">
        <v>1.0154840000000001</v>
      </c>
      <c r="D7">
        <v>1.022205</v>
      </c>
      <c r="E7" s="1">
        <v>1.76924E-28</v>
      </c>
      <c r="F7" t="str">
        <f t="shared" si="0"/>
        <v>1.02(1.02-1.02)</v>
      </c>
      <c r="G7" t="str">
        <f t="shared" si="1"/>
        <v>&lt;0.001</v>
      </c>
      <c r="J7" t="s">
        <v>62</v>
      </c>
      <c r="K7">
        <v>1.0498365000000001</v>
      </c>
      <c r="L7">
        <v>1.0239902999999999</v>
      </c>
      <c r="M7">
        <v>1.0765119999999999</v>
      </c>
      <c r="N7" s="1">
        <v>1.3772130000000001E-4</v>
      </c>
      <c r="O7" t="str">
        <f t="shared" si="2"/>
        <v>1.05(1.02-1.08)</v>
      </c>
      <c r="P7" t="str">
        <f t="shared" si="3"/>
        <v>&lt;0.001</v>
      </c>
    </row>
    <row r="8" spans="1:17" x14ac:dyDescent="0.3">
      <c r="A8" t="s">
        <v>96</v>
      </c>
      <c r="B8">
        <v>1.0776992000000001</v>
      </c>
      <c r="C8">
        <v>1.0524621000000001</v>
      </c>
      <c r="D8">
        <v>1.1037722000000001</v>
      </c>
      <c r="E8" s="1">
        <v>7.1288119999999999E-10</v>
      </c>
      <c r="F8" t="str">
        <f t="shared" si="0"/>
        <v>1.08(1.05-1.1)</v>
      </c>
      <c r="G8" t="str">
        <f t="shared" si="1"/>
        <v>&lt;0.001</v>
      </c>
      <c r="J8" t="s">
        <v>105</v>
      </c>
      <c r="K8">
        <v>1.146717</v>
      </c>
      <c r="L8">
        <v>1.0971436000000001</v>
      </c>
      <c r="M8">
        <v>1.1986498000000001</v>
      </c>
      <c r="N8" s="1">
        <v>1.3125199999999999E-9</v>
      </c>
      <c r="O8" t="str">
        <f t="shared" si="2"/>
        <v>1.15(1.1-1.2)</v>
      </c>
      <c r="P8" t="str">
        <f t="shared" si="3"/>
        <v>&lt;0.001</v>
      </c>
    </row>
    <row r="9" spans="1:17" x14ac:dyDescent="0.3">
      <c r="A9" t="s">
        <v>97</v>
      </c>
      <c r="B9">
        <v>1.1414770000000001</v>
      </c>
      <c r="C9">
        <v>1.0943309999999999</v>
      </c>
      <c r="D9">
        <v>1.1907509999999999</v>
      </c>
      <c r="E9" s="1">
        <v>8.0653650000000001E-10</v>
      </c>
      <c r="F9" t="str">
        <f t="shared" si="0"/>
        <v>1.14(1.09-1.19)</v>
      </c>
      <c r="G9" t="str">
        <f t="shared" si="1"/>
        <v>&lt;0.001</v>
      </c>
      <c r="J9" t="s">
        <v>106</v>
      </c>
      <c r="K9">
        <v>0.95232649999999996</v>
      </c>
      <c r="L9">
        <v>0.92261340000000003</v>
      </c>
      <c r="M9">
        <v>0.98333300000000001</v>
      </c>
      <c r="N9" s="1">
        <v>2.6496639999999999E-3</v>
      </c>
      <c r="O9" t="str">
        <f t="shared" si="2"/>
        <v>0.95(0.92-0.98)</v>
      </c>
      <c r="P9">
        <f t="shared" si="3"/>
        <v>3.0000000000000001E-3</v>
      </c>
    </row>
    <row r="10" spans="1:17" x14ac:dyDescent="0.3">
      <c r="A10" t="s">
        <v>98</v>
      </c>
      <c r="B10">
        <v>0.93521690000000002</v>
      </c>
      <c r="C10">
        <v>0.90828109999999995</v>
      </c>
      <c r="D10">
        <v>0.96321670000000004</v>
      </c>
      <c r="E10" s="1">
        <v>7.7046350000000004E-66</v>
      </c>
      <c r="F10" t="str">
        <f t="shared" si="0"/>
        <v>0.94(0.91-0.96)</v>
      </c>
      <c r="G10" t="str">
        <f t="shared" si="1"/>
        <v>&lt;0.001</v>
      </c>
      <c r="J10" t="s">
        <v>22</v>
      </c>
      <c r="K10">
        <v>1.1590786</v>
      </c>
      <c r="L10">
        <v>0.98429440000000001</v>
      </c>
      <c r="M10">
        <v>1.365672</v>
      </c>
      <c r="N10" s="1">
        <v>7.7152100000000001E-2</v>
      </c>
      <c r="O10" t="str">
        <f t="shared" si="2"/>
        <v>1.16(0.98-1.37)</v>
      </c>
      <c r="P10">
        <f t="shared" si="3"/>
        <v>7.6999999999999999E-2</v>
      </c>
    </row>
    <row r="11" spans="1:17" x14ac:dyDescent="0.3">
      <c r="A11" t="s">
        <v>99</v>
      </c>
      <c r="B11">
        <v>1.0839019999999999</v>
      </c>
      <c r="C11">
        <v>0.84866680000000005</v>
      </c>
      <c r="D11">
        <v>1.3748549999999999</v>
      </c>
      <c r="E11" s="1">
        <v>0.51225739999999997</v>
      </c>
      <c r="F11" t="str">
        <f t="shared" si="0"/>
        <v>1.08(0.85-1.37)</v>
      </c>
      <c r="G11">
        <f t="shared" si="1"/>
        <v>0.51200000000000001</v>
      </c>
      <c r="J11" t="s">
        <v>23</v>
      </c>
      <c r="K11">
        <v>1.3095284</v>
      </c>
      <c r="L11">
        <v>1.0189097</v>
      </c>
      <c r="M11">
        <v>1.6879710000000001</v>
      </c>
      <c r="N11" s="1">
        <v>3.6176859999999998E-2</v>
      </c>
      <c r="O11" t="str">
        <f t="shared" si="2"/>
        <v>1.31(1.02-1.69)</v>
      </c>
      <c r="P11">
        <f t="shared" si="3"/>
        <v>3.5999999999999997E-2</v>
      </c>
    </row>
    <row r="12" spans="1:17" x14ac:dyDescent="0.3">
      <c r="A12" t="s">
        <v>22</v>
      </c>
      <c r="B12">
        <v>1.2758946</v>
      </c>
      <c r="C12">
        <v>1.1083122000000001</v>
      </c>
      <c r="D12">
        <v>1.469536</v>
      </c>
      <c r="E12" s="1">
        <v>7.0894019999999999E-4</v>
      </c>
      <c r="F12" t="str">
        <f t="shared" si="0"/>
        <v>1.28(1.11-1.47)</v>
      </c>
      <c r="G12" t="str">
        <f t="shared" si="1"/>
        <v>&lt;0.001</v>
      </c>
      <c r="J12" t="s">
        <v>24</v>
      </c>
      <c r="K12">
        <v>1.248855</v>
      </c>
      <c r="L12">
        <v>0.89510069999999997</v>
      </c>
      <c r="M12">
        <v>1.7570166</v>
      </c>
      <c r="N12" s="1">
        <v>0.19595309999999999</v>
      </c>
      <c r="O12" t="str">
        <f t="shared" si="2"/>
        <v>1.25(0.9-1.76)</v>
      </c>
      <c r="P12">
        <f t="shared" si="3"/>
        <v>0.19600000000000001</v>
      </c>
    </row>
    <row r="13" spans="1:17" x14ac:dyDescent="0.3">
      <c r="A13" t="s">
        <v>23</v>
      </c>
      <c r="B13">
        <v>1.1356773</v>
      </c>
      <c r="C13">
        <v>0.92444590000000004</v>
      </c>
      <c r="D13">
        <v>1.400638</v>
      </c>
      <c r="E13" s="1">
        <v>0.22973950000000001</v>
      </c>
      <c r="F13" t="str">
        <f t="shared" si="0"/>
        <v>1.14(0.92-1.4)</v>
      </c>
      <c r="G13">
        <f t="shared" si="1"/>
        <v>0.23</v>
      </c>
      <c r="J13" t="s">
        <v>100</v>
      </c>
      <c r="K13">
        <v>1.5320247</v>
      </c>
      <c r="L13">
        <v>1.3073912000000001</v>
      </c>
      <c r="M13">
        <v>1.7950189000000001</v>
      </c>
      <c r="N13" s="1">
        <v>1.316894E-7</v>
      </c>
      <c r="O13" t="str">
        <f t="shared" si="2"/>
        <v>1.53(1.31-1.8)</v>
      </c>
      <c r="P13" t="str">
        <f t="shared" si="3"/>
        <v>&lt;0.001</v>
      </c>
    </row>
    <row r="14" spans="1:17" x14ac:dyDescent="0.3">
      <c r="A14" t="s">
        <v>24</v>
      </c>
      <c r="B14">
        <v>0.93677339999999998</v>
      </c>
      <c r="C14">
        <v>0.69308610000000004</v>
      </c>
      <c r="D14">
        <v>1.2782899999999999</v>
      </c>
      <c r="E14" s="1">
        <v>0.67527400000000004</v>
      </c>
      <c r="F14" t="str">
        <f t="shared" si="0"/>
        <v>0.94(0.69-1.28)</v>
      </c>
      <c r="G14">
        <f t="shared" si="1"/>
        <v>0.67500000000000004</v>
      </c>
      <c r="J14" t="s">
        <v>102</v>
      </c>
      <c r="K14">
        <v>1.2276396999999999</v>
      </c>
      <c r="L14">
        <v>1.0392473</v>
      </c>
      <c r="M14">
        <v>1.4512465999999999</v>
      </c>
      <c r="N14" s="1">
        <v>1.6034130000000001E-2</v>
      </c>
      <c r="O14" t="str">
        <f t="shared" si="2"/>
        <v>1.23(1.04-1.45)</v>
      </c>
      <c r="P14">
        <f t="shared" si="3"/>
        <v>1.6E-2</v>
      </c>
    </row>
    <row r="15" spans="1:17" x14ac:dyDescent="0.3">
      <c r="A15" t="s">
        <v>100</v>
      </c>
      <c r="B15">
        <v>1.4944649999999999</v>
      </c>
      <c r="C15">
        <v>1.3095810000000001</v>
      </c>
      <c r="D15">
        <v>1.7048970000000001</v>
      </c>
      <c r="E15" s="1">
        <v>2.3578739999999999E-9</v>
      </c>
      <c r="F15" t="str">
        <f t="shared" si="0"/>
        <v>1.49(1.31-1.7)</v>
      </c>
      <c r="G15" t="str">
        <f t="shared" si="1"/>
        <v>&lt;0.001</v>
      </c>
      <c r="J15" t="s">
        <v>103</v>
      </c>
      <c r="K15">
        <v>0.39162550000000002</v>
      </c>
      <c r="L15">
        <v>0.25161470000000002</v>
      </c>
      <c r="M15">
        <v>0.61358590000000002</v>
      </c>
      <c r="N15" s="1">
        <v>3.5572209999999999E-5</v>
      </c>
      <c r="O15" t="str">
        <f t="shared" si="2"/>
        <v>0.39(0.25-0.61)</v>
      </c>
      <c r="P15" t="str">
        <f t="shared" si="3"/>
        <v>&lt;0.001</v>
      </c>
    </row>
    <row r="16" spans="1:17" x14ac:dyDescent="0.3">
      <c r="A16" t="s">
        <v>101</v>
      </c>
      <c r="B16">
        <v>0.99867079999999997</v>
      </c>
      <c r="C16">
        <v>0.84697219999999995</v>
      </c>
      <c r="D16">
        <v>1.1806449999999999</v>
      </c>
      <c r="E16" s="1">
        <v>0.98747090000000004</v>
      </c>
      <c r="F16" t="str">
        <f t="shared" si="0"/>
        <v>1(0.85-1.18)</v>
      </c>
      <c r="G16">
        <f t="shared" si="1"/>
        <v>0.98699999999999999</v>
      </c>
      <c r="Q16" s="1"/>
    </row>
    <row r="17" spans="1:16" x14ac:dyDescent="0.3">
      <c r="A17" t="s">
        <v>102</v>
      </c>
      <c r="B17">
        <v>1.3112470000000001</v>
      </c>
      <c r="C17">
        <v>1.1456710000000001</v>
      </c>
      <c r="D17">
        <v>1.5024299999999999</v>
      </c>
      <c r="E17" s="1">
        <v>8.8907530000000004E-5</v>
      </c>
      <c r="F17" t="str">
        <f t="shared" si="0"/>
        <v>1.31(1.15-1.5)</v>
      </c>
      <c r="G17" t="str">
        <f t="shared" si="1"/>
        <v>&lt;0.001</v>
      </c>
    </row>
    <row r="18" spans="1:16" x14ac:dyDescent="0.3">
      <c r="A18" t="s">
        <v>103</v>
      </c>
      <c r="B18">
        <v>0.50049569999999999</v>
      </c>
      <c r="C18">
        <v>0.32963120000000001</v>
      </c>
      <c r="D18">
        <v>0.766069</v>
      </c>
      <c r="E18" s="1">
        <v>1.2442309999999999E-3</v>
      </c>
      <c r="F18" t="str">
        <f t="shared" si="0"/>
        <v>0.5(0.33-0.77)</v>
      </c>
      <c r="G18">
        <f t="shared" si="1"/>
        <v>1E-3</v>
      </c>
    </row>
    <row r="21" spans="1:16" x14ac:dyDescent="0.3">
      <c r="A21" t="s">
        <v>107</v>
      </c>
      <c r="J21" t="s">
        <v>111</v>
      </c>
    </row>
    <row r="24" spans="1:16" x14ac:dyDescent="0.3">
      <c r="B24" t="s">
        <v>88</v>
      </c>
      <c r="C24" t="s">
        <v>89</v>
      </c>
      <c r="D24" t="s">
        <v>90</v>
      </c>
      <c r="E24" t="s">
        <v>1</v>
      </c>
      <c r="F24" t="s">
        <v>91</v>
      </c>
      <c r="G24" t="s">
        <v>92</v>
      </c>
      <c r="K24" t="s">
        <v>88</v>
      </c>
      <c r="L24" t="s">
        <v>89</v>
      </c>
      <c r="M24" t="s">
        <v>90</v>
      </c>
      <c r="N24" t="s">
        <v>1</v>
      </c>
      <c r="O24" t="s">
        <v>91</v>
      </c>
      <c r="P24" t="s">
        <v>92</v>
      </c>
    </row>
    <row r="25" spans="1:16" x14ac:dyDescent="0.3">
      <c r="A25" t="s">
        <v>94</v>
      </c>
      <c r="B25">
        <v>0.95613753999999995</v>
      </c>
      <c r="C25">
        <v>0.94195289999999998</v>
      </c>
      <c r="D25">
        <v>0.97087880000000004</v>
      </c>
      <c r="E25" s="1">
        <v>6.0680479999999997E-9</v>
      </c>
      <c r="F25" t="str">
        <f>ROUND($B25,2)&amp;"("&amp;ROUND($C25,2)&amp;"-"&amp;ROUND($D25,2)&amp;")"</f>
        <v>0.96(0.94-0.97)</v>
      </c>
      <c r="G25" t="str">
        <f>IF($E25&lt;0.001,"&lt;0.001",ROUND($E25,3))</f>
        <v>&lt;0.001</v>
      </c>
      <c r="J25" t="s">
        <v>59</v>
      </c>
      <c r="K25">
        <v>0.95257130700000003</v>
      </c>
      <c r="L25">
        <v>0.93707771900000003</v>
      </c>
      <c r="M25">
        <v>0.96865614</v>
      </c>
      <c r="N25" s="1">
        <v>8.906751E-9</v>
      </c>
      <c r="O25" t="str">
        <f>ROUND($K25,2)&amp;"("&amp;ROUND($L25,2)&amp;"-"&amp;ROUND($M25,2)&amp;")"</f>
        <v>0.95(0.94-0.97)</v>
      </c>
      <c r="P25" t="str">
        <f>IF($N25&lt;0.001,"&lt;0.001",ROUND($N25,3))</f>
        <v>&lt;0.001</v>
      </c>
    </row>
    <row r="26" spans="1:16" x14ac:dyDescent="0.3">
      <c r="A26" t="s">
        <v>93</v>
      </c>
      <c r="B26">
        <v>6.1104778059999996</v>
      </c>
      <c r="C26">
        <v>3.6983031939000002</v>
      </c>
      <c r="D26">
        <v>10.888610759000001</v>
      </c>
      <c r="E26" s="1">
        <v>3.6369289999999997E-11</v>
      </c>
      <c r="F26" t="str">
        <f t="shared" ref="F26:F40" si="4">ROUND($B26,2)&amp;"("&amp;ROUND($C26,2)&amp;"-"&amp;ROUND($D26,2)&amp;")"</f>
        <v>6.11(3.7-10.89)</v>
      </c>
      <c r="G26" t="str">
        <f t="shared" ref="G26:G40" si="5">IF($E26&lt;0.001,"&lt;0.001",ROUND($E26,3))</f>
        <v>&lt;0.001</v>
      </c>
      <c r="J26" t="s">
        <v>60</v>
      </c>
      <c r="K26">
        <v>2.7468259929999999</v>
      </c>
      <c r="L26">
        <v>1.456497009</v>
      </c>
      <c r="M26">
        <v>5.4122748600000001</v>
      </c>
      <c r="N26" s="1">
        <v>2.4234059999999999E-3</v>
      </c>
      <c r="O26" t="str">
        <f t="shared" ref="O26:O34" si="6">ROUND($K26,2)&amp;"("&amp;ROUND($L26,2)&amp;"-"&amp;ROUND($M26,2)&amp;")"</f>
        <v>2.75(1.46-5.41)</v>
      </c>
      <c r="P26">
        <f t="shared" ref="P26:P34" si="7">IF($N26&lt;0.001,"&lt;0.001",ROUND($N26,3))</f>
        <v>2E-3</v>
      </c>
    </row>
    <row r="27" spans="1:16" x14ac:dyDescent="0.3">
      <c r="A27" t="s">
        <v>95</v>
      </c>
      <c r="B27">
        <v>1.014893442</v>
      </c>
      <c r="C27">
        <v>1.0099654659999999</v>
      </c>
      <c r="D27">
        <v>1.0198282780000001</v>
      </c>
      <c r="E27" s="1">
        <v>3.5420420000000001E-9</v>
      </c>
      <c r="F27" t="str">
        <f t="shared" si="4"/>
        <v>1.01(1.01-1.02)</v>
      </c>
      <c r="G27" t="str">
        <f t="shared" si="5"/>
        <v>&lt;0.001</v>
      </c>
      <c r="J27" t="s">
        <v>61</v>
      </c>
      <c r="K27">
        <v>1.0026195819999999</v>
      </c>
      <c r="L27">
        <v>0.99369443199999996</v>
      </c>
      <c r="M27">
        <v>1.0104008099999999</v>
      </c>
      <c r="N27" s="1">
        <v>0.54415270000000004</v>
      </c>
      <c r="O27" t="str">
        <f t="shared" si="6"/>
        <v>1(0.99-1.01)</v>
      </c>
      <c r="P27">
        <f t="shared" si="7"/>
        <v>0.54400000000000004</v>
      </c>
    </row>
    <row r="28" spans="1:16" x14ac:dyDescent="0.3">
      <c r="A28" t="s">
        <v>96</v>
      </c>
      <c r="B28">
        <v>1.0735822702</v>
      </c>
      <c r="C28">
        <v>1.0122567998000001</v>
      </c>
      <c r="D28">
        <v>1.1375768740000001</v>
      </c>
      <c r="E28" s="1">
        <v>1.6983729999999999E-2</v>
      </c>
      <c r="F28" t="str">
        <f t="shared" si="4"/>
        <v>1.07(1.01-1.14)</v>
      </c>
      <c r="G28">
        <f t="shared" si="5"/>
        <v>1.7000000000000001E-2</v>
      </c>
      <c r="J28" t="s">
        <v>62</v>
      </c>
      <c r="K28">
        <v>1.0580240729999999</v>
      </c>
      <c r="L28">
        <v>0.99684325699999998</v>
      </c>
      <c r="M28">
        <v>1.1219332500000001</v>
      </c>
      <c r="N28" s="1">
        <v>6.11528E-2</v>
      </c>
      <c r="O28" t="str">
        <f t="shared" si="6"/>
        <v>1.06(1-1.12)</v>
      </c>
      <c r="P28">
        <f t="shared" si="7"/>
        <v>6.0999999999999999E-2</v>
      </c>
    </row>
    <row r="29" spans="1:16" x14ac:dyDescent="0.3">
      <c r="A29" t="s">
        <v>97</v>
      </c>
      <c r="B29">
        <v>0.90407126500000001</v>
      </c>
      <c r="C29">
        <v>0.81240709</v>
      </c>
      <c r="D29">
        <v>1.0066123220000001</v>
      </c>
      <c r="E29" s="1">
        <v>6.4676629999999999E-2</v>
      </c>
      <c r="F29" t="str">
        <f t="shared" si="4"/>
        <v>0.9(0.81-1.01)</v>
      </c>
      <c r="G29">
        <f t="shared" si="5"/>
        <v>6.5000000000000002E-2</v>
      </c>
      <c r="J29" t="s">
        <v>105</v>
      </c>
      <c r="K29">
        <v>0.92631005799999999</v>
      </c>
      <c r="L29">
        <v>0.828343406</v>
      </c>
      <c r="M29">
        <v>1.03654852</v>
      </c>
      <c r="N29" s="1">
        <v>0.18013119999999999</v>
      </c>
      <c r="O29" t="str">
        <f t="shared" si="6"/>
        <v>0.93(0.83-1.04)</v>
      </c>
      <c r="P29">
        <f t="shared" si="7"/>
        <v>0.18</v>
      </c>
    </row>
    <row r="30" spans="1:16" x14ac:dyDescent="0.3">
      <c r="A30" t="s">
        <v>98</v>
      </c>
      <c r="B30">
        <v>0.99483556299999998</v>
      </c>
      <c r="C30">
        <v>0.91173121800000001</v>
      </c>
      <c r="D30">
        <v>1.0754444059999999</v>
      </c>
      <c r="E30" s="1">
        <v>0.90189399999999997</v>
      </c>
      <c r="F30" t="str">
        <f t="shared" si="4"/>
        <v>0.99(0.91-1.08)</v>
      </c>
      <c r="G30">
        <f t="shared" si="5"/>
        <v>0.90200000000000002</v>
      </c>
      <c r="J30" t="s">
        <v>71</v>
      </c>
      <c r="K30">
        <v>0.77181022600000004</v>
      </c>
      <c r="L30">
        <v>0.53413690300000005</v>
      </c>
      <c r="M30">
        <v>1.12631456</v>
      </c>
      <c r="N30" s="1">
        <v>0.17269390000000001</v>
      </c>
      <c r="O30" t="str">
        <f t="shared" si="6"/>
        <v>0.77(0.53-1.13)</v>
      </c>
      <c r="P30">
        <f t="shared" si="7"/>
        <v>0.17299999999999999</v>
      </c>
    </row>
    <row r="31" spans="1:16" x14ac:dyDescent="0.3">
      <c r="A31" t="s">
        <v>99</v>
      </c>
      <c r="B31">
        <v>0.75466866099999996</v>
      </c>
      <c r="C31">
        <v>0.36295548500000002</v>
      </c>
      <c r="D31">
        <v>1.92792341</v>
      </c>
      <c r="E31" s="1">
        <v>0.50124489999999999</v>
      </c>
      <c r="F31" t="str">
        <f t="shared" si="4"/>
        <v>0.75(0.36-1.93)</v>
      </c>
      <c r="G31">
        <f t="shared" si="5"/>
        <v>0.501</v>
      </c>
      <c r="J31" t="s">
        <v>73</v>
      </c>
      <c r="K31">
        <v>0.91438321499999997</v>
      </c>
      <c r="L31">
        <v>0.62679323899999995</v>
      </c>
      <c r="M31">
        <v>1.3188583899999999</v>
      </c>
      <c r="N31" s="1">
        <v>0.63651270000000004</v>
      </c>
      <c r="O31" t="str">
        <f t="shared" si="6"/>
        <v>0.91(0.63-1.32)</v>
      </c>
      <c r="P31">
        <f t="shared" si="7"/>
        <v>0.63700000000000001</v>
      </c>
    </row>
    <row r="32" spans="1:16" x14ac:dyDescent="0.3">
      <c r="A32" t="s">
        <v>22</v>
      </c>
      <c r="B32">
        <v>1.1182291710000001</v>
      </c>
      <c r="C32">
        <v>0.76591649100000003</v>
      </c>
      <c r="D32">
        <v>1.621245126</v>
      </c>
      <c r="E32">
        <v>0.55797799999999997</v>
      </c>
      <c r="F32" t="str">
        <f t="shared" si="4"/>
        <v>1.12(0.77-1.62)</v>
      </c>
      <c r="G32">
        <f t="shared" si="5"/>
        <v>0.55800000000000005</v>
      </c>
      <c r="J32" t="s">
        <v>108</v>
      </c>
      <c r="K32">
        <v>5.0339659609999998</v>
      </c>
      <c r="L32">
        <v>2.744303323</v>
      </c>
      <c r="M32">
        <v>9.4886494199999998</v>
      </c>
      <c r="N32" s="1">
        <v>3.191695E-7</v>
      </c>
      <c r="O32" t="str">
        <f t="shared" si="6"/>
        <v>5.03(2.74-9.49)</v>
      </c>
      <c r="P32" t="str">
        <f t="shared" si="7"/>
        <v>&lt;0.001</v>
      </c>
    </row>
    <row r="33" spans="1:16" x14ac:dyDescent="0.3">
      <c r="A33" t="s">
        <v>23</v>
      </c>
      <c r="B33">
        <v>1.3374236559999999</v>
      </c>
      <c r="C33">
        <v>0.80590838499999995</v>
      </c>
      <c r="D33">
        <v>2.135581186</v>
      </c>
      <c r="E33">
        <v>0.2397502</v>
      </c>
      <c r="F33" t="str">
        <f>ROUND($B33,2)&amp;"("&amp;ROUND($C33,2)&amp;"-"&amp;ROUND($D33,2)&amp;")"</f>
        <v>1.34(0.81-2.14)</v>
      </c>
      <c r="G33">
        <f t="shared" si="5"/>
        <v>0.24</v>
      </c>
      <c r="J33" t="s">
        <v>442</v>
      </c>
      <c r="K33">
        <v>1.205388906</v>
      </c>
      <c r="L33">
        <v>0.62099711300000004</v>
      </c>
      <c r="M33">
        <v>2.3550458999999999</v>
      </c>
      <c r="N33" s="1">
        <v>0.5812465</v>
      </c>
      <c r="O33" t="str">
        <f t="shared" si="6"/>
        <v>1.21(0.62-2.36)</v>
      </c>
      <c r="P33">
        <f t="shared" si="7"/>
        <v>0.58099999999999996</v>
      </c>
    </row>
    <row r="34" spans="1:16" x14ac:dyDescent="0.3">
      <c r="A34" t="s">
        <v>24</v>
      </c>
      <c r="B34">
        <v>0.92241066000000005</v>
      </c>
      <c r="C34">
        <v>0.32243100699999999</v>
      </c>
      <c r="D34">
        <v>2.0754949219999999</v>
      </c>
      <c r="E34">
        <v>0.86211420000000005</v>
      </c>
      <c r="F34" t="str">
        <f t="shared" si="4"/>
        <v>0.92(0.32-2.08)</v>
      </c>
      <c r="G34">
        <f t="shared" si="5"/>
        <v>0.86199999999999999</v>
      </c>
      <c r="J34" t="s">
        <v>110</v>
      </c>
      <c r="K34">
        <v>11.838496236999999</v>
      </c>
      <c r="L34">
        <v>6.4800603199999998</v>
      </c>
      <c r="M34">
        <v>22.15736798</v>
      </c>
      <c r="N34" s="1">
        <v>2.836946E-15</v>
      </c>
      <c r="O34" t="str">
        <f t="shared" si="6"/>
        <v>11.84(6.48-22.16)</v>
      </c>
      <c r="P34" t="str">
        <f t="shared" si="7"/>
        <v>&lt;0.001</v>
      </c>
    </row>
    <row r="35" spans="1:16" x14ac:dyDescent="0.3">
      <c r="A35" t="s">
        <v>100</v>
      </c>
      <c r="B35">
        <v>0.69637433299999996</v>
      </c>
      <c r="C35">
        <v>0.49476321600000001</v>
      </c>
      <c r="D35">
        <v>0.99135067399999999</v>
      </c>
      <c r="E35" s="1">
        <v>4.0733560000000002E-2</v>
      </c>
      <c r="F35" t="str">
        <f t="shared" si="4"/>
        <v>0.7(0.49-0.99)</v>
      </c>
      <c r="G35">
        <f t="shared" si="5"/>
        <v>4.1000000000000002E-2</v>
      </c>
    </row>
    <row r="36" spans="1:16" x14ac:dyDescent="0.3">
      <c r="A36" t="s">
        <v>101</v>
      </c>
      <c r="B36">
        <v>1.290169589</v>
      </c>
      <c r="C36">
        <v>0.77942619300000004</v>
      </c>
      <c r="D36">
        <v>2.024598288</v>
      </c>
      <c r="E36" s="1">
        <v>0.29282649999999999</v>
      </c>
      <c r="F36" t="str">
        <f t="shared" si="4"/>
        <v>1.29(0.78-2.02)</v>
      </c>
      <c r="G36">
        <f t="shared" si="5"/>
        <v>0.29299999999999998</v>
      </c>
      <c r="N36" s="1"/>
    </row>
    <row r="37" spans="1:16" x14ac:dyDescent="0.3">
      <c r="A37" t="s">
        <v>102</v>
      </c>
      <c r="B37">
        <v>1.2962292609999999</v>
      </c>
      <c r="C37">
        <v>0.90879891800000001</v>
      </c>
      <c r="D37">
        <v>1.826673252</v>
      </c>
      <c r="E37" s="1">
        <v>0.1441258</v>
      </c>
      <c r="F37" t="str">
        <f t="shared" si="4"/>
        <v>1.3(0.91-1.83)</v>
      </c>
      <c r="G37">
        <f t="shared" si="5"/>
        <v>0.14399999999999999</v>
      </c>
      <c r="N37" s="1"/>
    </row>
    <row r="38" spans="1:16" x14ac:dyDescent="0.3">
      <c r="A38" t="s">
        <v>109</v>
      </c>
      <c r="B38">
        <v>2.070520294</v>
      </c>
      <c r="C38" s="1">
        <v>1.1725669999999999</v>
      </c>
      <c r="D38">
        <v>3.6325532190000001</v>
      </c>
      <c r="E38" s="1">
        <v>1.1095880000000001E-2</v>
      </c>
      <c r="F38" t="str">
        <f t="shared" si="4"/>
        <v>2.07(1.17-3.63)</v>
      </c>
      <c r="G38">
        <f t="shared" si="5"/>
        <v>1.0999999999999999E-2</v>
      </c>
      <c r="I38" s="1"/>
      <c r="L38" s="1"/>
      <c r="N38" s="1"/>
      <c r="P38" s="1"/>
    </row>
    <row r="39" spans="1:16" x14ac:dyDescent="0.3">
      <c r="A39" t="s">
        <v>108</v>
      </c>
      <c r="B39">
        <v>10.747769183999999</v>
      </c>
      <c r="C39" s="1">
        <v>6.7704500000000003</v>
      </c>
      <c r="D39">
        <v>17.487212162999999</v>
      </c>
      <c r="E39" s="1">
        <v>6.4181369999999999E-23</v>
      </c>
      <c r="F39" t="str">
        <f t="shared" si="4"/>
        <v>10.75(6.77-17.49)</v>
      </c>
      <c r="G39" t="str">
        <f t="shared" si="5"/>
        <v>&lt;0.001</v>
      </c>
      <c r="L39" s="1"/>
      <c r="N39" s="1"/>
      <c r="P39" s="1"/>
    </row>
    <row r="40" spans="1:16" x14ac:dyDescent="0.3">
      <c r="A40" t="s">
        <v>110</v>
      </c>
      <c r="B40">
        <v>21.474247224999999</v>
      </c>
      <c r="C40" s="1">
        <v>13.10474</v>
      </c>
      <c r="D40">
        <v>35.768769847999998</v>
      </c>
      <c r="E40" s="1">
        <v>2.3593119999999998E-33</v>
      </c>
      <c r="F40" t="str">
        <f t="shared" si="4"/>
        <v>21.47(13.1-35.77)</v>
      </c>
      <c r="G40" t="str">
        <f t="shared" si="5"/>
        <v>&lt;0.001</v>
      </c>
      <c r="L40" s="1"/>
      <c r="N40" s="1"/>
      <c r="P40" s="1"/>
    </row>
    <row r="41" spans="1:16" x14ac:dyDescent="0.3">
      <c r="P41" s="1"/>
    </row>
    <row r="42" spans="1:16" x14ac:dyDescent="0.3">
      <c r="P42" s="1"/>
    </row>
    <row r="43" spans="1:16" x14ac:dyDescent="0.3">
      <c r="P43" s="1"/>
    </row>
    <row r="44" spans="1:16" x14ac:dyDescent="0.3">
      <c r="P44" s="1"/>
    </row>
    <row r="45" spans="1:16" x14ac:dyDescent="0.3">
      <c r="P45" s="1"/>
    </row>
    <row r="46" spans="1:16" x14ac:dyDescent="0.3">
      <c r="P46" s="1"/>
    </row>
    <row r="47" spans="1:16" x14ac:dyDescent="0.3">
      <c r="P47" s="1"/>
    </row>
    <row r="48" spans="1:16" x14ac:dyDescent="0.3">
      <c r="P4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7"/>
  <sheetViews>
    <sheetView topLeftCell="K16" workbookViewId="0">
      <selection activeCell="F25" sqref="F25"/>
    </sheetView>
  </sheetViews>
  <sheetFormatPr defaultRowHeight="16.5" x14ac:dyDescent="0.3"/>
  <cols>
    <col min="1" max="1" width="25" bestFit="1" customWidth="1"/>
    <col min="2" max="2" width="10.5" customWidth="1"/>
    <col min="3" max="3" width="22.875" bestFit="1" customWidth="1"/>
    <col min="4" max="4" width="10.5" bestFit="1" customWidth="1"/>
    <col min="5" max="5" width="13.75" bestFit="1" customWidth="1"/>
    <col min="6" max="6" width="12.75" bestFit="1" customWidth="1"/>
    <col min="7" max="7" width="11.5" bestFit="1" customWidth="1"/>
    <col min="8" max="8" width="25" bestFit="1" customWidth="1"/>
    <col min="9" max="10" width="22.875" bestFit="1" customWidth="1"/>
    <col min="11" max="11" width="32.75" bestFit="1" customWidth="1"/>
    <col min="12" max="12" width="14" bestFit="1" customWidth="1"/>
    <col min="13" max="13" width="16.25" bestFit="1" customWidth="1"/>
    <col min="14" max="14" width="12.875" bestFit="1" customWidth="1"/>
    <col min="15" max="15" width="35.25" bestFit="1" customWidth="1"/>
    <col min="18" max="18" width="27.875" bestFit="1" customWidth="1"/>
    <col min="19" max="19" width="14.125" bestFit="1" customWidth="1"/>
    <col min="20" max="20" width="14" bestFit="1" customWidth="1"/>
    <col min="21" max="21" width="10.5" bestFit="1" customWidth="1"/>
    <col min="22" max="22" width="8.625" bestFit="1" customWidth="1"/>
    <col min="23" max="23" width="15.125" bestFit="1" customWidth="1"/>
  </cols>
  <sheetData>
    <row r="1" spans="1:21" x14ac:dyDescent="0.3">
      <c r="A1" t="s">
        <v>4</v>
      </c>
      <c r="B1" t="s">
        <v>30</v>
      </c>
      <c r="H1" t="s">
        <v>28</v>
      </c>
      <c r="O1" t="s">
        <v>29</v>
      </c>
    </row>
    <row r="3" spans="1:21" x14ac:dyDescent="0.3">
      <c r="B3" t="s">
        <v>0</v>
      </c>
      <c r="C3" t="s">
        <v>85</v>
      </c>
      <c r="D3" t="s">
        <v>50</v>
      </c>
      <c r="E3" t="s">
        <v>1</v>
      </c>
      <c r="F3" t="s">
        <v>440</v>
      </c>
      <c r="G3" t="s">
        <v>9</v>
      </c>
      <c r="I3" t="s">
        <v>0</v>
      </c>
      <c r="J3" t="s">
        <v>79</v>
      </c>
      <c r="K3" t="s">
        <v>84</v>
      </c>
      <c r="L3" t="s">
        <v>1</v>
      </c>
      <c r="M3" t="s">
        <v>440</v>
      </c>
      <c r="N3" t="s">
        <v>9</v>
      </c>
      <c r="P3" t="s">
        <v>0</v>
      </c>
      <c r="Q3" t="s">
        <v>79</v>
      </c>
      <c r="R3" t="s">
        <v>50</v>
      </c>
      <c r="S3" t="s">
        <v>1</v>
      </c>
      <c r="T3" t="s">
        <v>440</v>
      </c>
      <c r="U3" t="s">
        <v>9</v>
      </c>
    </row>
    <row r="4" spans="1:21" x14ac:dyDescent="0.3">
      <c r="A4" t="s">
        <v>5</v>
      </c>
      <c r="B4">
        <v>1.5172829999999999</v>
      </c>
      <c r="C4">
        <v>1.376182</v>
      </c>
      <c r="D4">
        <v>1.6728499999999999</v>
      </c>
      <c r="E4" s="1">
        <v>5.6755930000000002E-17</v>
      </c>
      <c r="F4" t="str">
        <f>ROUND($B4,2)&amp;"("&amp;ROUND($C4,2)&amp;"-"&amp;ROUND($D4,2)&amp;")"</f>
        <v>1.52(1.38-1.67)</v>
      </c>
      <c r="G4" t="str">
        <f>IF($E4&lt;0.001,"&lt;0.001",ROUND($E4,3))</f>
        <v>&lt;0.001</v>
      </c>
      <c r="H4" t="s">
        <v>5</v>
      </c>
      <c r="I4">
        <v>1.4697359999999999</v>
      </c>
      <c r="J4">
        <v>1.3218829999999999</v>
      </c>
      <c r="K4">
        <v>1.6341270000000001</v>
      </c>
      <c r="L4" s="1">
        <v>1.0907610000000001E-12</v>
      </c>
      <c r="M4" t="str">
        <f>ROUND($I4,2)&amp;"("&amp;ROUND($J4,2)&amp;"-"&amp;ROUND($K4,2)&amp;")"</f>
        <v>1.47(1.32-1.63)</v>
      </c>
      <c r="N4" t="str">
        <f>IF($L4&lt;0.001,"&lt;0.001",ROUND($L4,3))</f>
        <v>&lt;0.001</v>
      </c>
      <c r="O4" t="s">
        <v>5</v>
      </c>
      <c r="P4">
        <v>1.8188279999999999</v>
      </c>
      <c r="Q4">
        <v>1.415025</v>
      </c>
      <c r="R4">
        <v>2.337863</v>
      </c>
      <c r="S4" s="1">
        <v>3.0088139999999999E-6</v>
      </c>
      <c r="T4" t="str">
        <f>ROUND($P4,2)&amp;"("&amp;ROUND($Q4,2)&amp;"-"&amp;ROUND($R4,2)&amp;")"</f>
        <v>1.82(1.42-2.34)</v>
      </c>
      <c r="U4" t="str">
        <f>IF($S4&lt;0.001,"&lt;0.001",ROUND($S4,3))</f>
        <v>&lt;0.001</v>
      </c>
    </row>
    <row r="5" spans="1:21" x14ac:dyDescent="0.3">
      <c r="A5" t="s">
        <v>6</v>
      </c>
      <c r="B5">
        <v>1.6752400000000001</v>
      </c>
      <c r="C5">
        <v>1.474229</v>
      </c>
      <c r="D5">
        <v>1.903659</v>
      </c>
      <c r="E5" s="1">
        <v>2.5435080000000002E-15</v>
      </c>
      <c r="F5" t="str">
        <f t="shared" ref="F5:F25" si="0">ROUND($B5,2)&amp;"("&amp;ROUND($C5,2)&amp;"-"&amp;ROUND($D5,2)&amp;")"</f>
        <v>1.68(1.47-1.9)</v>
      </c>
      <c r="G5" t="str">
        <f t="shared" ref="G5:G25" si="1">IF($E5&lt;0.001,"&lt;0.001",ROUND($E5,3))</f>
        <v>&lt;0.001</v>
      </c>
      <c r="H5" t="s">
        <v>6</v>
      </c>
      <c r="I5">
        <v>1.6262700000000001</v>
      </c>
      <c r="J5">
        <v>1.4151309999999999</v>
      </c>
      <c r="K5">
        <v>1.8689119999999999</v>
      </c>
      <c r="L5" s="1">
        <v>7.2025279999999997E-12</v>
      </c>
      <c r="M5" t="str">
        <f t="shared" ref="M5:M25" si="2">ROUND($I5,2)&amp;"("&amp;ROUND($J5,2)&amp;"-"&amp;ROUND($K5,2)&amp;")"</f>
        <v>1.63(1.42-1.87)</v>
      </c>
      <c r="N5" t="str">
        <f t="shared" ref="N5:N25" si="3">IF($L5&lt;0.001,"&lt;0.001",ROUND($L5,3))</f>
        <v>&lt;0.001</v>
      </c>
      <c r="O5" t="s">
        <v>6</v>
      </c>
      <c r="P5">
        <v>1.9857819999999999</v>
      </c>
      <c r="Q5">
        <v>1.4342630000000001</v>
      </c>
      <c r="R5">
        <v>2.749377</v>
      </c>
      <c r="S5" s="1">
        <v>3.5882340000000003E-5</v>
      </c>
      <c r="T5" t="str">
        <f t="shared" ref="T5:T25" si="4">ROUND($P5,2)&amp;"("&amp;ROUND($Q5,2)&amp;"-"&amp;ROUND($R5,2)&amp;")"</f>
        <v>1.99(1.43-2.75)</v>
      </c>
      <c r="U5" t="str">
        <f t="shared" ref="U5:U25" si="5">IF($S5&lt;0.001,"&lt;0.001",ROUND($S5,3))</f>
        <v>&lt;0.001</v>
      </c>
    </row>
    <row r="6" spans="1:21" x14ac:dyDescent="0.3">
      <c r="A6" t="s">
        <v>7</v>
      </c>
      <c r="B6">
        <v>2.1536240000000002</v>
      </c>
      <c r="C6">
        <v>1.8154319999999999</v>
      </c>
      <c r="D6">
        <v>2.5548160000000002</v>
      </c>
      <c r="E6" s="1">
        <v>1.3468269999999999E-18</v>
      </c>
      <c r="F6" t="str">
        <f t="shared" si="0"/>
        <v>2.15(1.82-2.55)</v>
      </c>
      <c r="G6" t="str">
        <f t="shared" si="1"/>
        <v>&lt;0.001</v>
      </c>
      <c r="H6" t="s">
        <v>7</v>
      </c>
      <c r="I6">
        <v>1.850301</v>
      </c>
      <c r="J6">
        <v>1.520135</v>
      </c>
      <c r="K6">
        <v>2.2521779999999998</v>
      </c>
      <c r="L6" s="1">
        <v>8.452933E-10</v>
      </c>
      <c r="M6" t="str">
        <f t="shared" si="2"/>
        <v>1.85(1.52-2.25)</v>
      </c>
      <c r="N6" t="str">
        <f t="shared" si="3"/>
        <v>&lt;0.001</v>
      </c>
      <c r="O6" t="s">
        <v>7</v>
      </c>
      <c r="P6">
        <v>4.0705910000000003</v>
      </c>
      <c r="Q6">
        <v>2.8544909999999999</v>
      </c>
      <c r="R6">
        <v>5.804786</v>
      </c>
      <c r="S6" s="1">
        <v>8.9993669999999999E-15</v>
      </c>
      <c r="T6" t="str">
        <f t="shared" si="4"/>
        <v>4.07(2.85-5.8)</v>
      </c>
      <c r="U6" t="str">
        <f t="shared" si="5"/>
        <v>&lt;0.001</v>
      </c>
    </row>
    <row r="7" spans="1:21" x14ac:dyDescent="0.3">
      <c r="A7" t="s">
        <v>8</v>
      </c>
      <c r="B7">
        <v>1.0621419999999999</v>
      </c>
      <c r="C7">
        <v>1.056969</v>
      </c>
      <c r="D7">
        <v>1.06734</v>
      </c>
      <c r="E7" s="1">
        <v>2.010913E-129</v>
      </c>
      <c r="F7" t="str">
        <f t="shared" si="0"/>
        <v>1.06(1.06-1.07)</v>
      </c>
      <c r="G7" t="str">
        <f t="shared" si="1"/>
        <v>&lt;0.001</v>
      </c>
      <c r="H7" t="s">
        <v>8</v>
      </c>
      <c r="I7">
        <v>1.0567839999999999</v>
      </c>
      <c r="J7">
        <v>1.051237</v>
      </c>
      <c r="K7">
        <v>1.06236</v>
      </c>
      <c r="L7" s="1">
        <v>5.0718479999999998E-94</v>
      </c>
      <c r="M7" t="str">
        <f t="shared" si="2"/>
        <v>1.06(1.05-1.06)</v>
      </c>
      <c r="N7" t="str">
        <f t="shared" si="3"/>
        <v>&lt;0.001</v>
      </c>
      <c r="O7" t="s">
        <v>8</v>
      </c>
      <c r="P7">
        <v>1.093451</v>
      </c>
      <c r="Q7">
        <v>1.0792809999999999</v>
      </c>
      <c r="R7">
        <v>1.1078060000000001</v>
      </c>
      <c r="S7" s="1">
        <v>4.316977E-41</v>
      </c>
      <c r="T7" t="str">
        <f t="shared" si="4"/>
        <v>1.09(1.08-1.11)</v>
      </c>
      <c r="U7" t="str">
        <f t="shared" si="5"/>
        <v>&lt;0.001</v>
      </c>
    </row>
    <row r="8" spans="1:21" x14ac:dyDescent="0.3">
      <c r="A8" t="s">
        <v>10</v>
      </c>
      <c r="B8">
        <v>2.5002800000000001</v>
      </c>
      <c r="C8">
        <v>2.262003</v>
      </c>
      <c r="D8">
        <v>2.7636560000000001</v>
      </c>
      <c r="E8" s="1">
        <v>6.4112829999999997E-72</v>
      </c>
      <c r="F8" t="str">
        <f t="shared" si="0"/>
        <v>2.5(2.26-2.76)</v>
      </c>
      <c r="G8" t="str">
        <f t="shared" si="1"/>
        <v>&lt;0.001</v>
      </c>
      <c r="H8" t="s">
        <v>10</v>
      </c>
      <c r="I8">
        <v>2.4067889999999998</v>
      </c>
      <c r="J8">
        <v>2.1604350000000001</v>
      </c>
      <c r="K8">
        <v>2.6812360000000002</v>
      </c>
      <c r="L8" s="1">
        <v>3.267738E-57</v>
      </c>
      <c r="M8" t="str">
        <f t="shared" si="2"/>
        <v>2.41(2.16-2.68)</v>
      </c>
      <c r="N8" t="str">
        <f t="shared" si="3"/>
        <v>&lt;0.001</v>
      </c>
      <c r="O8" t="s">
        <v>10</v>
      </c>
      <c r="P8">
        <v>3.114379</v>
      </c>
      <c r="Q8">
        <v>2.3794689999999998</v>
      </c>
      <c r="R8">
        <v>4.0762700000000001</v>
      </c>
      <c r="S8" s="1">
        <v>1.3112059999999999E-16</v>
      </c>
      <c r="T8" t="str">
        <f t="shared" si="4"/>
        <v>3.11(2.38-4.08)</v>
      </c>
      <c r="U8" t="str">
        <f t="shared" si="5"/>
        <v>&lt;0.001</v>
      </c>
    </row>
    <row r="9" spans="1:21" x14ac:dyDescent="0.3">
      <c r="A9" t="s">
        <v>11</v>
      </c>
      <c r="B9">
        <v>1.0078940000000001</v>
      </c>
      <c r="C9">
        <v>1.006704</v>
      </c>
      <c r="D9">
        <v>1.009085</v>
      </c>
      <c r="E9" s="1">
        <v>6.6466639999999998E-39</v>
      </c>
      <c r="F9" t="str">
        <f t="shared" si="0"/>
        <v>1.01(1.01-1.01)</v>
      </c>
      <c r="G9" t="str">
        <f t="shared" si="1"/>
        <v>&lt;0.001</v>
      </c>
      <c r="H9" t="s">
        <v>11</v>
      </c>
      <c r="I9">
        <v>1.0074989999999999</v>
      </c>
      <c r="J9">
        <v>1.006132</v>
      </c>
      <c r="K9">
        <v>1.0088680000000001</v>
      </c>
      <c r="L9" s="1">
        <v>4.0574679999999999E-27</v>
      </c>
      <c r="M9" t="str">
        <f t="shared" si="2"/>
        <v>1.01(1.01-1.01)</v>
      </c>
      <c r="N9" t="str">
        <f t="shared" si="3"/>
        <v>&lt;0.001</v>
      </c>
      <c r="O9" t="s">
        <v>11</v>
      </c>
      <c r="P9">
        <v>1.009452</v>
      </c>
      <c r="Q9">
        <v>1.007104</v>
      </c>
      <c r="R9">
        <v>1.0118050000000001</v>
      </c>
      <c r="S9" s="1">
        <v>2.406515E-15</v>
      </c>
      <c r="T9" t="str">
        <f t="shared" si="4"/>
        <v>1.01(1.01-1.01)</v>
      </c>
      <c r="U9" t="str">
        <f t="shared" si="5"/>
        <v>&lt;0.001</v>
      </c>
    </row>
    <row r="10" spans="1:21" x14ac:dyDescent="0.3">
      <c r="A10" t="s">
        <v>12</v>
      </c>
      <c r="B10">
        <v>0.90859440000000002</v>
      </c>
      <c r="C10">
        <v>0.89361429999999997</v>
      </c>
      <c r="D10">
        <v>0.92382549999999997</v>
      </c>
      <c r="E10" s="1">
        <v>1.295336E-29</v>
      </c>
      <c r="F10" t="str">
        <f t="shared" si="0"/>
        <v>0.91(0.89-0.92)</v>
      </c>
      <c r="G10" t="str">
        <f t="shared" si="1"/>
        <v>&lt;0.001</v>
      </c>
      <c r="H10" t="s">
        <v>12</v>
      </c>
      <c r="I10">
        <v>0.91322599999999998</v>
      </c>
      <c r="J10">
        <v>0.8969182</v>
      </c>
      <c r="K10">
        <v>0.92983039999999995</v>
      </c>
      <c r="L10" s="1">
        <v>5.4207539999999998E-23</v>
      </c>
      <c r="M10" t="str">
        <f t="shared" si="2"/>
        <v>0.91(0.9-0.93)</v>
      </c>
      <c r="N10" t="str">
        <f t="shared" si="3"/>
        <v>&lt;0.001</v>
      </c>
      <c r="O10" t="s">
        <v>12</v>
      </c>
      <c r="P10">
        <v>0.88325489999999995</v>
      </c>
      <c r="Q10">
        <v>0.84596830000000001</v>
      </c>
      <c r="R10">
        <v>0.92218489999999997</v>
      </c>
      <c r="S10" s="1">
        <v>1.6893520000000001E-8</v>
      </c>
      <c r="T10" t="str">
        <f t="shared" si="4"/>
        <v>0.88(0.85-0.92)</v>
      </c>
      <c r="U10" t="str">
        <f t="shared" si="5"/>
        <v>&lt;0.001</v>
      </c>
    </row>
    <row r="11" spans="1:21" x14ac:dyDescent="0.3">
      <c r="A11" t="s">
        <v>13</v>
      </c>
      <c r="B11">
        <v>0.88945220000000003</v>
      </c>
      <c r="C11">
        <v>0.76646449999999999</v>
      </c>
      <c r="D11">
        <v>1.0321745</v>
      </c>
      <c r="E11">
        <v>0.12285726</v>
      </c>
      <c r="F11" t="str">
        <f t="shared" si="0"/>
        <v>0.89(0.77-1.03)</v>
      </c>
      <c r="G11">
        <f t="shared" si="1"/>
        <v>0.123</v>
      </c>
      <c r="H11" t="s">
        <v>13</v>
      </c>
      <c r="I11">
        <v>0.86070630000000004</v>
      </c>
      <c r="J11">
        <v>0.73046699999999998</v>
      </c>
      <c r="K11">
        <v>1.0141667999999999</v>
      </c>
      <c r="L11">
        <v>7.3146469000000006E-2</v>
      </c>
      <c r="M11" t="str">
        <f t="shared" si="2"/>
        <v>0.86(0.73-1.01)</v>
      </c>
      <c r="N11">
        <f t="shared" si="3"/>
        <v>7.2999999999999995E-2</v>
      </c>
      <c r="O11" t="s">
        <v>13</v>
      </c>
      <c r="P11">
        <v>1.0397314</v>
      </c>
      <c r="Q11">
        <v>0.72916499999999995</v>
      </c>
      <c r="R11" s="1">
        <v>1.4825743</v>
      </c>
      <c r="S11">
        <v>0.82959351000000003</v>
      </c>
      <c r="T11" t="str">
        <f t="shared" si="4"/>
        <v>1.04(0.73-1.48)</v>
      </c>
      <c r="U11">
        <f t="shared" si="5"/>
        <v>0.83</v>
      </c>
    </row>
    <row r="12" spans="1:21" x14ac:dyDescent="0.3">
      <c r="A12" t="s">
        <v>14</v>
      </c>
      <c r="B12">
        <v>0.89738569999999995</v>
      </c>
      <c r="C12">
        <v>0.7787655</v>
      </c>
      <c r="D12">
        <v>1.0340739000000001</v>
      </c>
      <c r="E12">
        <v>0.13445543700000001</v>
      </c>
      <c r="F12" t="str">
        <f t="shared" si="0"/>
        <v>0.9(0.78-1.03)</v>
      </c>
      <c r="G12">
        <f t="shared" si="1"/>
        <v>0.13400000000000001</v>
      </c>
      <c r="H12" t="s">
        <v>14</v>
      </c>
      <c r="I12">
        <v>0.93970759999999998</v>
      </c>
      <c r="J12">
        <v>0.80680479999999999</v>
      </c>
      <c r="K12">
        <v>1.0945031000000001</v>
      </c>
      <c r="L12">
        <v>0.42411469099999999</v>
      </c>
      <c r="M12" t="str">
        <f t="shared" si="2"/>
        <v>0.94(0.81-1.09)</v>
      </c>
      <c r="N12">
        <f t="shared" si="3"/>
        <v>0.42399999999999999</v>
      </c>
      <c r="O12" t="s">
        <v>14</v>
      </c>
      <c r="P12">
        <v>0.673759</v>
      </c>
      <c r="Q12">
        <v>0.45644190000000001</v>
      </c>
      <c r="R12" s="1">
        <v>0.99454319999999996</v>
      </c>
      <c r="S12">
        <v>4.686659E-2</v>
      </c>
      <c r="T12" t="str">
        <f t="shared" si="4"/>
        <v>0.67(0.46-0.99)</v>
      </c>
      <c r="U12">
        <f t="shared" si="5"/>
        <v>4.7E-2</v>
      </c>
    </row>
    <row r="13" spans="1:21" x14ac:dyDescent="0.3">
      <c r="A13" t="s">
        <v>15</v>
      </c>
      <c r="B13">
        <v>0.88523839999999998</v>
      </c>
      <c r="C13">
        <v>0.77728379999999997</v>
      </c>
      <c r="D13">
        <v>1.0081864</v>
      </c>
      <c r="E13">
        <v>6.6196466999999995E-2</v>
      </c>
      <c r="F13" t="str">
        <f t="shared" si="0"/>
        <v>0.89(0.78-1.01)</v>
      </c>
      <c r="G13">
        <f t="shared" si="1"/>
        <v>6.6000000000000003E-2</v>
      </c>
      <c r="H13" t="s">
        <v>444</v>
      </c>
      <c r="I13">
        <v>0.88735869999999994</v>
      </c>
      <c r="J13">
        <v>0.77010000000000001</v>
      </c>
      <c r="K13">
        <v>1.0224716</v>
      </c>
      <c r="L13">
        <v>9.8403157000000005E-2</v>
      </c>
      <c r="M13" t="str">
        <f t="shared" si="2"/>
        <v>0.89(0.77-1.02)</v>
      </c>
      <c r="N13">
        <f t="shared" si="3"/>
        <v>9.8000000000000004E-2</v>
      </c>
      <c r="O13" t="s">
        <v>15</v>
      </c>
      <c r="P13">
        <v>0.87399139999999997</v>
      </c>
      <c r="Q13">
        <v>0.63010429999999995</v>
      </c>
      <c r="R13" s="1">
        <v>1.212277</v>
      </c>
      <c r="S13">
        <v>0.41977407</v>
      </c>
      <c r="T13" t="str">
        <f t="shared" si="4"/>
        <v>0.87(0.63-1.21)</v>
      </c>
      <c r="U13">
        <f t="shared" si="5"/>
        <v>0.42</v>
      </c>
    </row>
    <row r="14" spans="1:21" x14ac:dyDescent="0.3">
      <c r="A14" t="s">
        <v>16</v>
      </c>
      <c r="B14">
        <v>0.83618930000000002</v>
      </c>
      <c r="C14">
        <v>0.74298180000000003</v>
      </c>
      <c r="D14">
        <v>0.94108970000000003</v>
      </c>
      <c r="E14">
        <v>3.0082279999999999E-3</v>
      </c>
      <c r="F14" t="str">
        <f t="shared" si="0"/>
        <v>0.84(0.74-0.94)</v>
      </c>
      <c r="G14">
        <f t="shared" si="1"/>
        <v>3.0000000000000001E-3</v>
      </c>
      <c r="H14" t="s">
        <v>16</v>
      </c>
      <c r="I14">
        <v>0.83614909999999998</v>
      </c>
      <c r="J14">
        <v>0.73504769999999997</v>
      </c>
      <c r="K14">
        <v>0.95115649999999996</v>
      </c>
      <c r="L14">
        <v>6.4973950000000004E-3</v>
      </c>
      <c r="M14" t="str">
        <f t="shared" si="2"/>
        <v>0.84(0.74-0.95)</v>
      </c>
      <c r="N14">
        <f t="shared" si="3"/>
        <v>6.0000000000000001E-3</v>
      </c>
      <c r="O14" t="s">
        <v>16</v>
      </c>
      <c r="P14">
        <v>0.83633040000000003</v>
      </c>
      <c r="Q14">
        <v>0.62180809999999997</v>
      </c>
      <c r="R14" s="1">
        <v>1.1248624</v>
      </c>
      <c r="S14">
        <v>0.2372436</v>
      </c>
      <c r="T14" t="str">
        <f t="shared" si="4"/>
        <v>0.84(0.62-1.12)</v>
      </c>
      <c r="U14">
        <f t="shared" si="5"/>
        <v>0.23699999999999999</v>
      </c>
    </row>
    <row r="15" spans="1:21" x14ac:dyDescent="0.3">
      <c r="A15" t="s">
        <v>17</v>
      </c>
      <c r="B15">
        <v>1.459573</v>
      </c>
      <c r="C15">
        <v>1.297353</v>
      </c>
      <c r="D15">
        <v>1.6420760000000001</v>
      </c>
      <c r="E15" s="1">
        <v>3.1614009999999999E-10</v>
      </c>
      <c r="F15" t="str">
        <f t="shared" si="0"/>
        <v>1.46(1.3-1.64)</v>
      </c>
      <c r="G15" t="str">
        <f t="shared" si="1"/>
        <v>&lt;0.001</v>
      </c>
      <c r="H15" t="s">
        <v>17</v>
      </c>
      <c r="I15">
        <v>1.362177</v>
      </c>
      <c r="J15">
        <v>1.201454</v>
      </c>
      <c r="K15">
        <v>1.5444020000000001</v>
      </c>
      <c r="L15" s="1">
        <v>1.3997060000000001E-6</v>
      </c>
      <c r="M15" t="str">
        <f t="shared" si="2"/>
        <v>1.36(1.2-1.54)</v>
      </c>
      <c r="N15" t="str">
        <f t="shared" si="3"/>
        <v>&lt;0.001</v>
      </c>
      <c r="O15" t="s">
        <v>17</v>
      </c>
      <c r="P15">
        <v>2.2909350000000002</v>
      </c>
      <c r="Q15">
        <v>1.617597</v>
      </c>
      <c r="R15">
        <v>3.2445569999999999</v>
      </c>
      <c r="S15" s="1">
        <v>3.0337619999999999E-6</v>
      </c>
      <c r="T15" t="str">
        <f t="shared" si="4"/>
        <v>2.29(1.62-3.24)</v>
      </c>
      <c r="U15" t="str">
        <f t="shared" si="5"/>
        <v>&lt;0.001</v>
      </c>
    </row>
    <row r="16" spans="1:21" x14ac:dyDescent="0.3">
      <c r="A16" t="s">
        <v>18</v>
      </c>
      <c r="B16">
        <v>2.162099</v>
      </c>
      <c r="C16">
        <v>1.855688</v>
      </c>
      <c r="D16">
        <v>2.519104</v>
      </c>
      <c r="E16" s="1">
        <v>4.6424539999999998E-23</v>
      </c>
      <c r="F16" t="str">
        <f t="shared" si="0"/>
        <v>2.16(1.86-2.52)</v>
      </c>
      <c r="G16" t="str">
        <f t="shared" si="1"/>
        <v>&lt;0.001</v>
      </c>
      <c r="H16" t="s">
        <v>18</v>
      </c>
      <c r="I16">
        <v>1.90916</v>
      </c>
      <c r="J16">
        <v>1.6155310000000001</v>
      </c>
      <c r="K16">
        <v>2.2561580000000001</v>
      </c>
      <c r="L16" s="1">
        <v>3.2125530000000001E-14</v>
      </c>
      <c r="M16" t="str">
        <f>ROUND($I16,2)&amp;"("&amp;ROUND($J16,2)&amp;"-"&amp;ROUND($K16,2)&amp;")"</f>
        <v>1.91(1.62-2.26)</v>
      </c>
      <c r="N16" t="str">
        <f t="shared" si="3"/>
        <v>&lt;0.001</v>
      </c>
      <c r="O16" t="s">
        <v>18</v>
      </c>
      <c r="P16">
        <v>4.3568559999999996</v>
      </c>
      <c r="Q16">
        <v>2.9088159999999998</v>
      </c>
      <c r="R16">
        <v>6.5257459999999998</v>
      </c>
      <c r="S16" s="1">
        <v>9.3353650000000008E-13</v>
      </c>
      <c r="T16" t="str">
        <f t="shared" si="4"/>
        <v>4.36(2.91-6.53)</v>
      </c>
      <c r="U16" t="str">
        <f t="shared" si="5"/>
        <v>&lt;0.001</v>
      </c>
    </row>
    <row r="17" spans="1:21" x14ac:dyDescent="0.3">
      <c r="A17" t="s">
        <v>19</v>
      </c>
      <c r="B17">
        <v>2.6453120000000001</v>
      </c>
      <c r="C17">
        <v>2.2720549999999999</v>
      </c>
      <c r="D17">
        <v>3.0798869999999998</v>
      </c>
      <c r="E17" s="1">
        <v>4.8014329999999998E-36</v>
      </c>
      <c r="F17" t="str">
        <f t="shared" si="0"/>
        <v>2.65(2.27-3.08)</v>
      </c>
      <c r="G17" t="str">
        <f t="shared" si="1"/>
        <v>&lt;0.001</v>
      </c>
      <c r="H17" t="s">
        <v>19</v>
      </c>
      <c r="I17">
        <v>2.523272</v>
      </c>
      <c r="J17">
        <v>2.1443660000000002</v>
      </c>
      <c r="K17">
        <v>2.969131</v>
      </c>
      <c r="L17" s="1">
        <v>7.255184E-29</v>
      </c>
      <c r="M17" t="str">
        <f t="shared" si="2"/>
        <v>2.52(2.14-2.97)</v>
      </c>
      <c r="N17" t="str">
        <f t="shared" si="3"/>
        <v>&lt;0.001</v>
      </c>
      <c r="O17" t="s">
        <v>19</v>
      </c>
      <c r="P17" s="1">
        <v>3.6790069999999999</v>
      </c>
      <c r="Q17">
        <v>2.3833600000000001</v>
      </c>
      <c r="R17">
        <v>5.6789969999999999</v>
      </c>
      <c r="S17" s="1">
        <v>4.0776949999999997E-9</v>
      </c>
      <c r="T17" t="str">
        <f t="shared" si="4"/>
        <v>3.68(2.38-5.68)</v>
      </c>
      <c r="U17" t="str">
        <f t="shared" si="5"/>
        <v>&lt;0.001</v>
      </c>
    </row>
    <row r="18" spans="1:21" x14ac:dyDescent="0.3">
      <c r="A18" t="s">
        <v>20</v>
      </c>
      <c r="B18">
        <v>0.73863970000000001</v>
      </c>
      <c r="C18">
        <v>0.67622550000000003</v>
      </c>
      <c r="D18">
        <v>0.80681460000000005</v>
      </c>
      <c r="E18" s="1">
        <v>1.7485890000000002E-11</v>
      </c>
      <c r="F18" t="str">
        <f t="shared" si="0"/>
        <v>0.74(0.68-0.81)</v>
      </c>
      <c r="G18" t="str">
        <f t="shared" si="1"/>
        <v>&lt;0.001</v>
      </c>
      <c r="H18" t="s">
        <v>443</v>
      </c>
      <c r="I18">
        <v>0.76458309999999996</v>
      </c>
      <c r="J18">
        <v>0.69484159999999995</v>
      </c>
      <c r="K18">
        <v>0.84132459999999998</v>
      </c>
      <c r="L18" s="1">
        <v>3.7878350000000002E-8</v>
      </c>
      <c r="M18" t="str">
        <f t="shared" si="2"/>
        <v>0.76(0.69-0.84)</v>
      </c>
      <c r="N18" t="str">
        <f t="shared" si="3"/>
        <v>&lt;0.001</v>
      </c>
      <c r="O18" t="s">
        <v>20</v>
      </c>
      <c r="P18">
        <v>0.60883469999999995</v>
      </c>
      <c r="Q18">
        <v>0.48339490000000002</v>
      </c>
      <c r="R18">
        <v>0.7668258</v>
      </c>
      <c r="S18" s="1">
        <v>2.4931910000000002E-5</v>
      </c>
      <c r="T18" t="str">
        <f t="shared" si="4"/>
        <v>0.61(0.48-0.77)</v>
      </c>
      <c r="U18" t="str">
        <f t="shared" si="5"/>
        <v>&lt;0.001</v>
      </c>
    </row>
    <row r="19" spans="1:21" x14ac:dyDescent="0.3">
      <c r="A19" t="s">
        <v>21</v>
      </c>
      <c r="B19">
        <v>0.3259976</v>
      </c>
      <c r="C19">
        <v>0.28037879999999998</v>
      </c>
      <c r="D19">
        <v>0.37903880000000001</v>
      </c>
      <c r="E19" s="1">
        <v>4.1733550000000001E-48</v>
      </c>
      <c r="F19" t="str">
        <f t="shared" si="0"/>
        <v>0.33(0.28-0.38)</v>
      </c>
      <c r="G19" t="str">
        <f t="shared" si="1"/>
        <v>&lt;0.001</v>
      </c>
      <c r="H19" t="s">
        <v>21</v>
      </c>
      <c r="I19">
        <v>0.29683110000000001</v>
      </c>
      <c r="J19">
        <v>0.25346790000000002</v>
      </c>
      <c r="K19">
        <v>0.34761300000000001</v>
      </c>
      <c r="L19" s="1">
        <v>2.4068539999999999E-51</v>
      </c>
      <c r="M19" t="str">
        <f t="shared" si="2"/>
        <v>0.3(0.25-0.35)</v>
      </c>
      <c r="N19" t="str">
        <f t="shared" si="3"/>
        <v>&lt;0.001</v>
      </c>
      <c r="O19" t="s">
        <v>21</v>
      </c>
      <c r="P19">
        <v>0.65653740000000005</v>
      </c>
      <c r="Q19">
        <v>0.39119730000000003</v>
      </c>
      <c r="R19">
        <v>1.1018520000000001</v>
      </c>
      <c r="S19">
        <v>0.111203</v>
      </c>
      <c r="T19" t="str">
        <f t="shared" si="4"/>
        <v>0.66(0.39-1.1)</v>
      </c>
      <c r="U19">
        <f t="shared" si="5"/>
        <v>0.111</v>
      </c>
    </row>
    <row r="20" spans="1:21" x14ac:dyDescent="0.3">
      <c r="A20" t="s">
        <v>22</v>
      </c>
      <c r="B20">
        <v>2.5654710000000001</v>
      </c>
      <c r="C20">
        <v>2.282591</v>
      </c>
      <c r="D20">
        <v>2.8834089999999999</v>
      </c>
      <c r="E20" s="1">
        <v>2.8535499999999999E-56</v>
      </c>
      <c r="F20" t="str">
        <f t="shared" si="0"/>
        <v>2.57(2.28-2.88)</v>
      </c>
      <c r="G20" t="str">
        <f t="shared" si="1"/>
        <v>&lt;0.001</v>
      </c>
      <c r="H20" t="s">
        <v>22</v>
      </c>
      <c r="I20">
        <v>3.0467029999999999</v>
      </c>
      <c r="J20">
        <v>2.6620430000000002</v>
      </c>
      <c r="K20">
        <v>3.486945</v>
      </c>
      <c r="L20" s="1">
        <v>7.1764309999999996E-59</v>
      </c>
      <c r="M20" t="str">
        <f t="shared" si="2"/>
        <v>3.05(2.66-3.49)</v>
      </c>
      <c r="N20" t="str">
        <f t="shared" si="3"/>
        <v>&lt;0.001</v>
      </c>
      <c r="O20" t="s">
        <v>22</v>
      </c>
      <c r="P20">
        <v>1.4134739999999999</v>
      </c>
      <c r="Q20">
        <v>1.1056330000000001</v>
      </c>
      <c r="R20">
        <v>1.807026</v>
      </c>
      <c r="S20" s="1">
        <v>5.7584239999999998E-3</v>
      </c>
      <c r="T20" t="str">
        <f t="shared" si="4"/>
        <v>1.41(1.11-1.81)</v>
      </c>
      <c r="U20">
        <f t="shared" si="5"/>
        <v>6.0000000000000001E-3</v>
      </c>
    </row>
    <row r="21" spans="1:21" x14ac:dyDescent="0.3">
      <c r="A21" t="s">
        <v>23</v>
      </c>
      <c r="B21">
        <v>8.3271460000000008</v>
      </c>
      <c r="C21">
        <v>7.4110800000000001</v>
      </c>
      <c r="D21">
        <v>9.3564450000000008</v>
      </c>
      <c r="E21" s="1">
        <v>2.858248E-278</v>
      </c>
      <c r="F21" t="str">
        <f t="shared" si="0"/>
        <v>8.33(7.41-9.36)</v>
      </c>
      <c r="G21" t="str">
        <f t="shared" si="1"/>
        <v>&lt;0.001</v>
      </c>
      <c r="H21" t="s">
        <v>23</v>
      </c>
      <c r="I21">
        <v>11.015392</v>
      </c>
      <c r="J21">
        <v>9.6507989999999992</v>
      </c>
      <c r="K21">
        <v>12.572934</v>
      </c>
      <c r="L21" s="1">
        <v>6.4528799999999996E-277</v>
      </c>
      <c r="M21" t="str">
        <f t="shared" si="2"/>
        <v>11.02(9.65-12.57)</v>
      </c>
      <c r="N21" t="str">
        <f t="shared" si="3"/>
        <v>&lt;0.001</v>
      </c>
      <c r="O21" t="s">
        <v>23</v>
      </c>
      <c r="P21">
        <v>1.775901</v>
      </c>
      <c r="Q21">
        <v>1.2723580000000001</v>
      </c>
      <c r="R21">
        <v>2.4787249999999998</v>
      </c>
      <c r="S21" s="1">
        <v>7.3593629999999996E-4</v>
      </c>
      <c r="T21" t="str">
        <f t="shared" si="4"/>
        <v>1.78(1.27-2.48)</v>
      </c>
      <c r="U21" t="str">
        <f t="shared" si="5"/>
        <v>&lt;0.001</v>
      </c>
    </row>
    <row r="22" spans="1:21" x14ac:dyDescent="0.3">
      <c r="A22" t="s">
        <v>24</v>
      </c>
      <c r="B22">
        <v>4.8786430000000003</v>
      </c>
      <c r="C22">
        <v>4.0858739999999996</v>
      </c>
      <c r="D22">
        <v>5.8252300000000004</v>
      </c>
      <c r="E22" s="1">
        <v>1.066358E-68</v>
      </c>
      <c r="F22" t="str">
        <f t="shared" si="0"/>
        <v>4.88(4.09-5.83)</v>
      </c>
      <c r="G22" t="str">
        <f t="shared" si="1"/>
        <v>&lt;0.001</v>
      </c>
      <c r="H22" t="s">
        <v>24</v>
      </c>
      <c r="I22">
        <v>5.5188750000000004</v>
      </c>
      <c r="J22">
        <v>4.5091479999999997</v>
      </c>
      <c r="K22">
        <v>6.7547079999999999</v>
      </c>
      <c r="L22" s="1">
        <v>1.174133E-61</v>
      </c>
      <c r="M22" t="str">
        <f t="shared" si="2"/>
        <v>5.52(4.51-6.75)</v>
      </c>
      <c r="N22" t="str">
        <f t="shared" si="3"/>
        <v>&lt;0.001</v>
      </c>
      <c r="O22" t="s">
        <v>24</v>
      </c>
      <c r="P22">
        <v>3.3464290000000001</v>
      </c>
      <c r="Q22">
        <v>2.2953450000000002</v>
      </c>
      <c r="R22">
        <v>4.8788239999999998</v>
      </c>
      <c r="S22" s="1">
        <v>3.3971429999999998E-10</v>
      </c>
      <c r="T22" t="str">
        <f t="shared" si="4"/>
        <v>3.35(2.3-4.88)</v>
      </c>
      <c r="U22" t="str">
        <f t="shared" si="5"/>
        <v>&lt;0.001</v>
      </c>
    </row>
    <row r="23" spans="1:21" x14ac:dyDescent="0.3">
      <c r="A23" t="s">
        <v>25</v>
      </c>
      <c r="B23">
        <v>0.16533780000000001</v>
      </c>
      <c r="C23">
        <v>0.1511419</v>
      </c>
      <c r="D23">
        <v>0.180867</v>
      </c>
      <c r="E23">
        <v>0</v>
      </c>
      <c r="F23" t="str">
        <f t="shared" si="0"/>
        <v>0.17(0.15-0.18)</v>
      </c>
      <c r="G23" t="str">
        <f t="shared" si="1"/>
        <v>&lt;0.001</v>
      </c>
      <c r="H23" t="s">
        <v>25</v>
      </c>
      <c r="I23">
        <v>0.14098849999999999</v>
      </c>
      <c r="J23">
        <v>0.12747990000000001</v>
      </c>
      <c r="K23">
        <v>0.1559285</v>
      </c>
      <c r="L23" t="s">
        <v>441</v>
      </c>
      <c r="M23" t="str">
        <f t="shared" si="2"/>
        <v>0.14(0.13-0.16)</v>
      </c>
      <c r="N23" t="e">
        <f>IF($L23&lt;0.001,"&lt;0.001",ROUND($L23,3))</f>
        <v>#VALUE!</v>
      </c>
      <c r="O23" t="s">
        <v>25</v>
      </c>
      <c r="P23">
        <v>0.35566900000000001</v>
      </c>
      <c r="Q23">
        <v>0.28697709999999998</v>
      </c>
      <c r="R23">
        <v>0.44080330000000001</v>
      </c>
      <c r="S23" s="1">
        <v>3.6757409999999997E-21</v>
      </c>
      <c r="T23" t="str">
        <f t="shared" si="4"/>
        <v>0.36(0.29-0.44)</v>
      </c>
      <c r="U23" t="str">
        <f t="shared" si="5"/>
        <v>&lt;0.001</v>
      </c>
    </row>
    <row r="24" spans="1:21" x14ac:dyDescent="0.3">
      <c r="A24" t="s">
        <v>26</v>
      </c>
      <c r="B24">
        <v>2.709171</v>
      </c>
      <c r="C24">
        <v>2.4564309999999998</v>
      </c>
      <c r="D24">
        <v>2.9879159999999998</v>
      </c>
      <c r="E24" s="1">
        <v>1.6220440000000001E-88</v>
      </c>
      <c r="F24" t="str">
        <f t="shared" si="0"/>
        <v>2.71(2.46-2.99)</v>
      </c>
      <c r="G24" t="str">
        <f t="shared" si="1"/>
        <v>&lt;0.001</v>
      </c>
      <c r="H24" t="s">
        <v>26</v>
      </c>
      <c r="I24">
        <v>2.853291</v>
      </c>
      <c r="J24">
        <v>2.5683039999999999</v>
      </c>
      <c r="K24">
        <v>3.1699000000000002</v>
      </c>
      <c r="L24" s="1">
        <v>6.2364919999999997E-85</v>
      </c>
      <c r="M24" t="str">
        <f t="shared" si="2"/>
        <v>2.85(2.57-3.17)</v>
      </c>
      <c r="N24" t="str">
        <f t="shared" si="3"/>
        <v>&lt;0.001</v>
      </c>
      <c r="O24" t="s">
        <v>26</v>
      </c>
      <c r="P24">
        <v>1.9880789999999999</v>
      </c>
      <c r="Q24">
        <v>1.516535</v>
      </c>
      <c r="R24">
        <v>2.6062430000000001</v>
      </c>
      <c r="S24" s="1">
        <v>6.5384050000000005E-7</v>
      </c>
      <c r="T24" t="str">
        <f t="shared" si="4"/>
        <v>1.99(1.52-2.61)</v>
      </c>
      <c r="U24" t="str">
        <f t="shared" si="5"/>
        <v>&lt;0.001</v>
      </c>
    </row>
    <row r="25" spans="1:21" x14ac:dyDescent="0.3">
      <c r="A25" t="s">
        <v>27</v>
      </c>
      <c r="B25">
        <v>2.6530610000000001</v>
      </c>
      <c r="C25">
        <v>2.4377</v>
      </c>
      <c r="D25">
        <v>2.8874469999999999</v>
      </c>
      <c r="E25" s="1">
        <v>5.5488829999999997E-113</v>
      </c>
      <c r="F25" t="str">
        <f t="shared" si="0"/>
        <v>2.65(2.44-2.89)</v>
      </c>
      <c r="G25" t="str">
        <f t="shared" si="1"/>
        <v>&lt;0.001</v>
      </c>
      <c r="H25" t="s">
        <v>27</v>
      </c>
      <c r="I25">
        <v>3.2146050000000002</v>
      </c>
      <c r="J25">
        <v>2.9295659999999999</v>
      </c>
      <c r="K25">
        <v>3.5273780000000001</v>
      </c>
      <c r="L25" s="1">
        <v>3.7757230000000001E-134</v>
      </c>
      <c r="M25" t="str">
        <f t="shared" si="2"/>
        <v>3.21(2.93-3.53)</v>
      </c>
      <c r="N25" t="str">
        <f t="shared" si="3"/>
        <v>&lt;0.001</v>
      </c>
      <c r="O25" t="s">
        <v>27</v>
      </c>
      <c r="P25">
        <v>0.86296459999999997</v>
      </c>
      <c r="Q25">
        <v>0.67474000000000001</v>
      </c>
      <c r="R25">
        <v>1.103696</v>
      </c>
      <c r="S25" s="1">
        <v>0.24038780000000001</v>
      </c>
      <c r="T25" t="str">
        <f t="shared" si="4"/>
        <v>0.86(0.67-1.1)</v>
      </c>
      <c r="U25">
        <f t="shared" si="5"/>
        <v>0.24</v>
      </c>
    </row>
    <row r="28" spans="1:21" x14ac:dyDescent="0.3">
      <c r="A28" t="s">
        <v>32</v>
      </c>
      <c r="B28" t="s">
        <v>31</v>
      </c>
    </row>
    <row r="30" spans="1:21" x14ac:dyDescent="0.3">
      <c r="B30" t="s">
        <v>0</v>
      </c>
      <c r="C30" t="s">
        <v>77</v>
      </c>
      <c r="D30" t="s">
        <v>78</v>
      </c>
      <c r="E30" t="s">
        <v>1</v>
      </c>
      <c r="F30" t="s">
        <v>440</v>
      </c>
      <c r="G30" t="s">
        <v>9</v>
      </c>
      <c r="H30" t="s">
        <v>33</v>
      </c>
      <c r="I30" t="s">
        <v>31</v>
      </c>
      <c r="O30" t="s">
        <v>34</v>
      </c>
      <c r="P30" t="s">
        <v>31</v>
      </c>
    </row>
    <row r="31" spans="1:21" x14ac:dyDescent="0.3">
      <c r="A31" t="s">
        <v>5</v>
      </c>
      <c r="B31">
        <v>0.92023900000000003</v>
      </c>
      <c r="C31">
        <v>0.80651470000000003</v>
      </c>
      <c r="D31">
        <v>1.0499992</v>
      </c>
      <c r="E31" s="1">
        <v>0.21681510000000001</v>
      </c>
      <c r="F31" t="str">
        <f>ROUND($B31,2)&amp;"("&amp;ROUND($C31,2)&amp;"-"&amp;ROUND($D31,2)&amp;")"</f>
        <v>0.92(0.81-1.05)</v>
      </c>
      <c r="G31">
        <f>IF($E31&lt;0.001,"&lt;0.001",ROUND($E31,3))</f>
        <v>0.217</v>
      </c>
    </row>
    <row r="32" spans="1:21" x14ac:dyDescent="0.3">
      <c r="A32" t="s">
        <v>6</v>
      </c>
      <c r="B32">
        <v>1.0916469</v>
      </c>
      <c r="C32">
        <v>0.92154139999999996</v>
      </c>
      <c r="D32">
        <v>1.2931519</v>
      </c>
      <c r="E32" s="1">
        <v>0.31030760000000002</v>
      </c>
      <c r="F32" t="str">
        <f t="shared" ref="F32:F52" si="6">ROUND($B32,2)&amp;"("&amp;ROUND($C32,2)&amp;"-"&amp;ROUND($D32,2)&amp;")"</f>
        <v>1.09(0.92-1.29)</v>
      </c>
      <c r="G32">
        <f t="shared" ref="G32:G52" si="7">IF($E32&lt;0.001,"&lt;0.001",ROUND($E32,3))</f>
        <v>0.31</v>
      </c>
      <c r="I32" t="s">
        <v>0</v>
      </c>
      <c r="J32" t="s">
        <v>77</v>
      </c>
      <c r="K32" t="s">
        <v>80</v>
      </c>
      <c r="L32" t="s">
        <v>1</v>
      </c>
      <c r="M32" t="s">
        <v>440</v>
      </c>
      <c r="N32" t="s">
        <v>9</v>
      </c>
      <c r="P32" t="s">
        <v>0</v>
      </c>
      <c r="Q32" t="s">
        <v>83</v>
      </c>
      <c r="R32" t="s">
        <v>50</v>
      </c>
      <c r="S32" t="s">
        <v>1</v>
      </c>
      <c r="T32" t="s">
        <v>440</v>
      </c>
      <c r="U32" t="s">
        <v>9</v>
      </c>
    </row>
    <row r="33" spans="1:21" x14ac:dyDescent="0.3">
      <c r="A33" t="s">
        <v>7</v>
      </c>
      <c r="B33">
        <v>1.1583102000000001</v>
      </c>
      <c r="C33">
        <v>0.95648920000000004</v>
      </c>
      <c r="D33">
        <v>1.4027159</v>
      </c>
      <c r="E33" s="1">
        <v>0.13244300000000001</v>
      </c>
      <c r="F33" t="str">
        <f t="shared" si="6"/>
        <v>1.16(0.96-1.4)</v>
      </c>
      <c r="G33">
        <f t="shared" si="7"/>
        <v>0.13200000000000001</v>
      </c>
      <c r="H33" t="s">
        <v>5</v>
      </c>
      <c r="I33">
        <v>0.89638169999999995</v>
      </c>
      <c r="J33">
        <v>0.77631269999999997</v>
      </c>
      <c r="K33">
        <v>1.0350212999999999</v>
      </c>
      <c r="L33" s="1">
        <v>0.13600499999999999</v>
      </c>
      <c r="M33" t="str">
        <f>ROUND($I33,2)&amp;"("&amp;ROUND($J33,2)&amp;"-"&amp;ROUND($K33,2)&amp;")"</f>
        <v>0.9(0.78-1.04)</v>
      </c>
      <c r="N33">
        <f>IF($L33&lt;0.001,"&lt;0.001",ROUND($L33,3))</f>
        <v>0.13600000000000001</v>
      </c>
      <c r="O33" t="s">
        <v>5</v>
      </c>
      <c r="P33">
        <v>1.0688173999999999</v>
      </c>
      <c r="Q33">
        <v>0.76537100000000002</v>
      </c>
      <c r="R33">
        <v>1.4925710000000001</v>
      </c>
      <c r="S33" s="1">
        <v>0.69609019999999999</v>
      </c>
      <c r="T33" t="str">
        <f>ROUND($P33,2)&amp;"("&amp;ROUND($Q33,2)&amp;"-"&amp;ROUND($R33,2)&amp;")"</f>
        <v>1.07(0.77-1.49)</v>
      </c>
      <c r="U33">
        <f>IF($S33&lt;0.001,"&lt;0.001",ROUND($S33,3))</f>
        <v>0.69599999999999995</v>
      </c>
    </row>
    <row r="34" spans="1:21" x14ac:dyDescent="0.3">
      <c r="A34" t="s">
        <v>8</v>
      </c>
      <c r="B34">
        <v>1.0509652</v>
      </c>
      <c r="C34">
        <v>1.0454933</v>
      </c>
      <c r="D34">
        <v>1.0564655999999999</v>
      </c>
      <c r="E34" s="1">
        <v>9.7149590000000006E-78</v>
      </c>
      <c r="F34" t="str">
        <f t="shared" si="6"/>
        <v>1.05(1.05-1.06)</v>
      </c>
      <c r="G34" t="str">
        <f t="shared" si="7"/>
        <v>&lt;0.001</v>
      </c>
      <c r="H34" t="s">
        <v>6</v>
      </c>
      <c r="I34">
        <v>1.0508381</v>
      </c>
      <c r="J34">
        <v>0.87311550000000004</v>
      </c>
      <c r="K34">
        <v>1.2647362</v>
      </c>
      <c r="L34" s="1">
        <v>0.59987889999999999</v>
      </c>
      <c r="M34" t="str">
        <f t="shared" ref="M34:M54" si="8">ROUND($I34,2)&amp;"("&amp;ROUND($J34,2)&amp;"-"&amp;ROUND($K34,2)&amp;")"</f>
        <v>1.05(0.87-1.26)</v>
      </c>
      <c r="N34">
        <f t="shared" ref="N34:N54" si="9">IF($L34&lt;0.001,"&lt;0.001",ROUND($L34,3))</f>
        <v>0.6</v>
      </c>
      <c r="O34" t="s">
        <v>6</v>
      </c>
      <c r="P34">
        <v>1.3708849999999999</v>
      </c>
      <c r="Q34">
        <v>0.90009360000000005</v>
      </c>
      <c r="R34">
        <v>2.0879224999999999</v>
      </c>
      <c r="S34" s="1">
        <v>0.14166790000000001</v>
      </c>
      <c r="T34" t="str">
        <f t="shared" ref="T34:T54" si="10">ROUND($P34,2)&amp;"("&amp;ROUND($Q34,2)&amp;"-"&amp;ROUND($R34,2)&amp;")"</f>
        <v>1.37(0.9-2.09)</v>
      </c>
      <c r="U34">
        <f t="shared" ref="U34:U54" si="11">IF($S34&lt;0.001,"&lt;0.001",ROUND($S34,3))</f>
        <v>0.14199999999999999</v>
      </c>
    </row>
    <row r="35" spans="1:21" x14ac:dyDescent="0.3">
      <c r="A35" t="s">
        <v>10</v>
      </c>
      <c r="B35">
        <v>1.9707498999999999</v>
      </c>
      <c r="C35">
        <v>1.7473565</v>
      </c>
      <c r="D35">
        <v>2.2227033999999999</v>
      </c>
      <c r="E35" s="1">
        <v>2.143779E-28</v>
      </c>
      <c r="F35" t="str">
        <f t="shared" si="6"/>
        <v>1.97(1.75-2.22)</v>
      </c>
      <c r="G35" t="str">
        <f t="shared" si="7"/>
        <v>&lt;0.001</v>
      </c>
      <c r="H35" t="s">
        <v>7</v>
      </c>
      <c r="I35">
        <v>1.0005272000000001</v>
      </c>
      <c r="J35">
        <v>0.80430049999999997</v>
      </c>
      <c r="K35">
        <v>1.2446279</v>
      </c>
      <c r="L35" s="1">
        <v>0.9962242</v>
      </c>
      <c r="M35" t="str">
        <f t="shared" si="8"/>
        <v>1(0.8-1.24)</v>
      </c>
      <c r="N35">
        <f t="shared" si="9"/>
        <v>0.996</v>
      </c>
      <c r="O35" t="s">
        <v>7</v>
      </c>
      <c r="P35">
        <v>2.2238216</v>
      </c>
      <c r="Q35">
        <v>1.4724759000000001</v>
      </c>
      <c r="R35">
        <v>3.3585489000000002</v>
      </c>
      <c r="S35" s="1">
        <v>1.4500050000000001E-4</v>
      </c>
      <c r="T35" t="str">
        <f t="shared" si="10"/>
        <v>2.22(1.47-3.36)</v>
      </c>
      <c r="U35" t="str">
        <f t="shared" si="11"/>
        <v>&lt;0.001</v>
      </c>
    </row>
    <row r="36" spans="1:21" x14ac:dyDescent="0.3">
      <c r="A36" t="s">
        <v>11</v>
      </c>
      <c r="B36">
        <v>1.0023184000000001</v>
      </c>
      <c r="C36">
        <v>0.99990590000000001</v>
      </c>
      <c r="D36">
        <v>1.0047368000000001</v>
      </c>
      <c r="E36" s="1">
        <v>5.9645700000000003E-2</v>
      </c>
      <c r="F36" t="str">
        <f t="shared" si="6"/>
        <v>1(1-1)</v>
      </c>
      <c r="G36">
        <f t="shared" si="7"/>
        <v>0.06</v>
      </c>
      <c r="H36" t="s">
        <v>8</v>
      </c>
      <c r="I36">
        <v>1.0475791000000001</v>
      </c>
      <c r="J36">
        <v>1.0416998</v>
      </c>
      <c r="K36">
        <v>1.0534916000000001</v>
      </c>
      <c r="L36" s="1">
        <v>6.2018220000000002E-59</v>
      </c>
      <c r="M36" t="str">
        <f t="shared" si="8"/>
        <v>1.05(1.04-1.05)</v>
      </c>
      <c r="N36" t="str">
        <f t="shared" si="9"/>
        <v>&lt;0.001</v>
      </c>
      <c r="O36" t="s">
        <v>8</v>
      </c>
      <c r="P36">
        <v>1.0719179999999999</v>
      </c>
      <c r="Q36">
        <v>1.0570214</v>
      </c>
      <c r="R36">
        <v>1.0870245999999999</v>
      </c>
      <c r="S36" s="1">
        <v>2.3244999999999999E-22</v>
      </c>
      <c r="T36" t="str">
        <f t="shared" si="10"/>
        <v>1.07(1.06-1.09)</v>
      </c>
      <c r="U36" t="str">
        <f t="shared" si="11"/>
        <v>&lt;0.001</v>
      </c>
    </row>
    <row r="37" spans="1:21" x14ac:dyDescent="0.3">
      <c r="A37" t="s">
        <v>12</v>
      </c>
      <c r="B37">
        <v>0.91155580000000003</v>
      </c>
      <c r="C37">
        <v>0.89645410000000003</v>
      </c>
      <c r="D37">
        <v>0.92691179999999995</v>
      </c>
      <c r="E37" s="1">
        <v>1.7029779999999998E-27</v>
      </c>
      <c r="F37" t="str">
        <f t="shared" si="6"/>
        <v>0.91(0.9-0.93)</v>
      </c>
      <c r="G37" t="str">
        <f t="shared" si="7"/>
        <v>&lt;0.001</v>
      </c>
      <c r="H37" t="s">
        <v>10</v>
      </c>
      <c r="I37">
        <v>1.9373868999999999</v>
      </c>
      <c r="J37">
        <v>1.7019754</v>
      </c>
      <c r="K37">
        <v>2.2053596999999998</v>
      </c>
      <c r="L37" s="1">
        <v>1.4432900000000001E-23</v>
      </c>
      <c r="M37" t="str">
        <f t="shared" si="8"/>
        <v>1.94(1.7-2.21)</v>
      </c>
      <c r="N37" t="str">
        <f t="shared" si="9"/>
        <v>&lt;0.001</v>
      </c>
      <c r="O37" t="s">
        <v>10</v>
      </c>
      <c r="P37">
        <v>2.1889319</v>
      </c>
      <c r="Q37">
        <v>1.5823027999999999</v>
      </c>
      <c r="R37">
        <v>3.0281327</v>
      </c>
      <c r="S37" s="1">
        <v>2.2307889999999998E-6</v>
      </c>
      <c r="T37" t="str">
        <f t="shared" si="10"/>
        <v>2.19(1.58-3.03)</v>
      </c>
      <c r="U37" t="str">
        <f t="shared" si="11"/>
        <v>&lt;0.001</v>
      </c>
    </row>
    <row r="38" spans="1:21" x14ac:dyDescent="0.3">
      <c r="A38" t="s">
        <v>13</v>
      </c>
      <c r="B38">
        <v>0.9726011</v>
      </c>
      <c r="C38">
        <v>0.83750420000000003</v>
      </c>
      <c r="D38">
        <v>1.1294905</v>
      </c>
      <c r="E38" s="1">
        <v>0.71578439999999999</v>
      </c>
      <c r="F38" t="str">
        <f t="shared" si="6"/>
        <v>0.97(0.84-1.13)</v>
      </c>
      <c r="G38">
        <f t="shared" si="7"/>
        <v>0.71599999999999997</v>
      </c>
      <c r="H38" t="s">
        <v>11</v>
      </c>
      <c r="I38">
        <v>1.0022115</v>
      </c>
      <c r="J38">
        <v>0.99951630000000002</v>
      </c>
      <c r="K38">
        <v>1.0049140999999999</v>
      </c>
      <c r="L38" s="1">
        <v>0.1078731</v>
      </c>
      <c r="M38" t="str">
        <f t="shared" si="8"/>
        <v>1(1-1)</v>
      </c>
      <c r="N38">
        <f t="shared" si="9"/>
        <v>0.108</v>
      </c>
      <c r="O38" t="s">
        <v>11</v>
      </c>
      <c r="P38">
        <v>1.0024031</v>
      </c>
      <c r="Q38">
        <v>0.99700599999999995</v>
      </c>
      <c r="R38">
        <v>1.0078294999999999</v>
      </c>
      <c r="S38" s="1">
        <v>0.38354850000000001</v>
      </c>
      <c r="T38" t="str">
        <f t="shared" si="10"/>
        <v>1(1-1.01)</v>
      </c>
      <c r="U38">
        <f t="shared" si="11"/>
        <v>0.38400000000000001</v>
      </c>
    </row>
    <row r="39" spans="1:21" x14ac:dyDescent="0.3">
      <c r="A39" t="s">
        <v>14</v>
      </c>
      <c r="B39">
        <v>0.9859599</v>
      </c>
      <c r="C39">
        <v>0.85494000000000003</v>
      </c>
      <c r="D39">
        <v>1.1370586</v>
      </c>
      <c r="E39" s="1">
        <v>0.84589150000000002</v>
      </c>
      <c r="F39" t="str">
        <f t="shared" si="6"/>
        <v>0.99(0.85-1.14)</v>
      </c>
      <c r="G39">
        <f t="shared" si="7"/>
        <v>0.84599999999999997</v>
      </c>
      <c r="H39" t="s">
        <v>12</v>
      </c>
      <c r="I39">
        <v>0.91451479999999996</v>
      </c>
      <c r="J39">
        <v>0.89808319999999997</v>
      </c>
      <c r="K39">
        <v>0.93124700000000005</v>
      </c>
      <c r="L39" s="1">
        <v>4.4567560000000002E-22</v>
      </c>
      <c r="M39" t="str">
        <f t="shared" si="8"/>
        <v>0.91(0.9-0.93)</v>
      </c>
      <c r="N39" t="str">
        <f t="shared" si="9"/>
        <v>&lt;0.001</v>
      </c>
      <c r="O39" t="s">
        <v>12</v>
      </c>
      <c r="P39">
        <v>0.89556329999999995</v>
      </c>
      <c r="Q39">
        <v>0.85768409999999995</v>
      </c>
      <c r="R39">
        <v>0.93511540000000004</v>
      </c>
      <c r="S39" s="1">
        <v>5.6622260000000001E-7</v>
      </c>
      <c r="T39" t="str">
        <f t="shared" si="10"/>
        <v>0.9(0.86-0.94)</v>
      </c>
      <c r="U39" t="str">
        <f t="shared" si="11"/>
        <v>&lt;0.001</v>
      </c>
    </row>
    <row r="40" spans="1:21" x14ac:dyDescent="0.3">
      <c r="A40" t="s">
        <v>15</v>
      </c>
      <c r="B40">
        <v>0.9404844</v>
      </c>
      <c r="C40">
        <v>0.82548940000000004</v>
      </c>
      <c r="D40">
        <v>1.0714988999999999</v>
      </c>
      <c r="E40" s="1">
        <v>0.35645769999999999</v>
      </c>
      <c r="F40" t="str">
        <f t="shared" si="6"/>
        <v>0.94(0.83-1.07)</v>
      </c>
      <c r="G40">
        <f t="shared" si="7"/>
        <v>0.35599999999999998</v>
      </c>
      <c r="H40" t="s">
        <v>13</v>
      </c>
      <c r="I40">
        <v>0.9292783</v>
      </c>
      <c r="J40">
        <v>0.7880104</v>
      </c>
      <c r="K40">
        <v>1.0958715999999999</v>
      </c>
      <c r="L40" s="1">
        <v>0.38331670000000001</v>
      </c>
      <c r="M40" t="str">
        <f t="shared" si="8"/>
        <v>0.93(0.79-1.1)</v>
      </c>
      <c r="N40">
        <f t="shared" si="9"/>
        <v>0.38300000000000001</v>
      </c>
      <c r="O40" t="s">
        <v>13</v>
      </c>
      <c r="P40">
        <v>1.1951352</v>
      </c>
      <c r="Q40">
        <v>0.83702169999999998</v>
      </c>
      <c r="R40">
        <v>1.7064649000000001</v>
      </c>
      <c r="S40" s="1">
        <v>0.32661440000000003</v>
      </c>
      <c r="T40" t="str">
        <f t="shared" si="10"/>
        <v>1.2(0.84-1.71)</v>
      </c>
      <c r="U40">
        <f t="shared" si="11"/>
        <v>0.32700000000000001</v>
      </c>
    </row>
    <row r="41" spans="1:21" x14ac:dyDescent="0.3">
      <c r="A41" t="s">
        <v>16</v>
      </c>
      <c r="B41">
        <v>0.84670179999999995</v>
      </c>
      <c r="C41">
        <v>0.75170530000000002</v>
      </c>
      <c r="D41">
        <v>0.95370350000000004</v>
      </c>
      <c r="E41" s="1">
        <v>6.1314359999999997E-3</v>
      </c>
      <c r="F41" t="str">
        <f t="shared" si="6"/>
        <v>0.85(0.75-0.95)</v>
      </c>
      <c r="G41">
        <f t="shared" si="7"/>
        <v>6.0000000000000001E-3</v>
      </c>
      <c r="H41" t="s">
        <v>14</v>
      </c>
      <c r="I41">
        <v>1.0271798000000001</v>
      </c>
      <c r="J41">
        <v>0.88108960000000003</v>
      </c>
      <c r="K41">
        <v>1.1974927</v>
      </c>
      <c r="L41" s="1">
        <v>0.73189380000000004</v>
      </c>
      <c r="M41" t="str">
        <f>ROUND($I41,2)&amp;"("&amp;ROUND($J41,2)&amp;"-"&amp;ROUND($K41,2)&amp;")"</f>
        <v>1.03(0.88-1.2)</v>
      </c>
      <c r="N41">
        <f t="shared" si="9"/>
        <v>0.73199999999999998</v>
      </c>
      <c r="O41" t="s">
        <v>14</v>
      </c>
      <c r="P41">
        <v>0.76062320000000005</v>
      </c>
      <c r="Q41">
        <v>0.5144881</v>
      </c>
      <c r="R41">
        <v>1.1245113</v>
      </c>
      <c r="S41" s="1">
        <v>0.17016319999999999</v>
      </c>
      <c r="T41" t="str">
        <f t="shared" si="10"/>
        <v>0.76(0.51-1.12)</v>
      </c>
      <c r="U41">
        <f t="shared" si="11"/>
        <v>0.17</v>
      </c>
    </row>
    <row r="42" spans="1:21" x14ac:dyDescent="0.3">
      <c r="A42" t="s">
        <v>17</v>
      </c>
      <c r="B42">
        <v>1.1674154999999999</v>
      </c>
      <c r="C42">
        <v>1.0362150000000001</v>
      </c>
      <c r="D42">
        <v>1.3152280000000001</v>
      </c>
      <c r="E42" s="1">
        <v>1.0933440000000001E-2</v>
      </c>
      <c r="F42" t="str">
        <f t="shared" si="6"/>
        <v>1.17(1.04-1.32)</v>
      </c>
      <c r="G42">
        <f t="shared" si="7"/>
        <v>1.0999999999999999E-2</v>
      </c>
      <c r="H42" t="s">
        <v>15</v>
      </c>
      <c r="I42">
        <v>0.93850840000000002</v>
      </c>
      <c r="J42">
        <v>0.8141562</v>
      </c>
      <c r="K42">
        <v>1.0818538</v>
      </c>
      <c r="L42" s="1">
        <v>0.38152029999999998</v>
      </c>
      <c r="M42" t="str">
        <f t="shared" si="8"/>
        <v>0.94(0.81-1.08)</v>
      </c>
      <c r="N42">
        <f t="shared" si="9"/>
        <v>0.38200000000000001</v>
      </c>
      <c r="O42" t="s">
        <v>15</v>
      </c>
      <c r="P42">
        <v>0.94067219999999996</v>
      </c>
      <c r="Q42">
        <v>0.67756919999999998</v>
      </c>
      <c r="R42">
        <v>1.3059392000000001</v>
      </c>
      <c r="S42" s="1">
        <v>0.71483350000000001</v>
      </c>
      <c r="T42" t="str">
        <f t="shared" si="10"/>
        <v>0.94(0.68-1.31)</v>
      </c>
      <c r="U42">
        <f t="shared" si="11"/>
        <v>0.71499999999999997</v>
      </c>
    </row>
    <row r="43" spans="1:21" x14ac:dyDescent="0.3">
      <c r="A43" t="s">
        <v>18</v>
      </c>
      <c r="B43">
        <v>1.4236762999999999</v>
      </c>
      <c r="C43">
        <v>1.2174834000000001</v>
      </c>
      <c r="D43">
        <v>1.6647901000000001</v>
      </c>
      <c r="E43" s="1">
        <v>9.6378699999999993E-6</v>
      </c>
      <c r="F43" t="str">
        <f t="shared" si="6"/>
        <v>1.42(1.22-1.66)</v>
      </c>
      <c r="G43" t="str">
        <f t="shared" si="7"/>
        <v>&lt;0.001</v>
      </c>
      <c r="H43" t="s">
        <v>16</v>
      </c>
      <c r="I43">
        <v>0.84661030000000004</v>
      </c>
      <c r="J43">
        <v>0.74356960000000005</v>
      </c>
      <c r="K43">
        <v>0.96392990000000001</v>
      </c>
      <c r="L43" s="1">
        <v>1.1910759999999999E-2</v>
      </c>
      <c r="M43" t="str">
        <f t="shared" si="8"/>
        <v>0.85(0.74-0.96)</v>
      </c>
      <c r="N43">
        <f t="shared" si="9"/>
        <v>1.2E-2</v>
      </c>
      <c r="O43" t="s">
        <v>16</v>
      </c>
      <c r="P43">
        <v>0.83513729999999997</v>
      </c>
      <c r="Q43">
        <v>0.61969799999999997</v>
      </c>
      <c r="R43">
        <v>1.1254744000000001</v>
      </c>
      <c r="S43" s="1">
        <v>0.23662179999999999</v>
      </c>
      <c r="T43" t="str">
        <f t="shared" si="10"/>
        <v>0.84(0.62-1.13)</v>
      </c>
      <c r="U43">
        <f t="shared" si="11"/>
        <v>0.23699999999999999</v>
      </c>
    </row>
    <row r="44" spans="1:21" x14ac:dyDescent="0.3">
      <c r="A44" t="s">
        <v>19</v>
      </c>
      <c r="B44">
        <v>1.5699884</v>
      </c>
      <c r="C44">
        <v>1.3458698</v>
      </c>
      <c r="D44">
        <v>1.8314280000000001</v>
      </c>
      <c r="E44" s="1">
        <v>9.4827950000000004E-9</v>
      </c>
      <c r="F44" t="str">
        <f t="shared" si="6"/>
        <v>1.57(1.35-1.83)</v>
      </c>
      <c r="G44" t="str">
        <f t="shared" si="7"/>
        <v>&lt;0.001</v>
      </c>
      <c r="H44" t="s">
        <v>17</v>
      </c>
      <c r="I44">
        <v>1.1060523</v>
      </c>
      <c r="J44">
        <v>0.97400830000000005</v>
      </c>
      <c r="K44">
        <v>1.2559971999999999</v>
      </c>
      <c r="L44" s="1">
        <v>0.12019440000000001</v>
      </c>
      <c r="M44" t="str">
        <f t="shared" si="8"/>
        <v>1.11(0.97-1.26)</v>
      </c>
      <c r="N44">
        <f t="shared" si="9"/>
        <v>0.12</v>
      </c>
      <c r="O44" t="s">
        <v>17</v>
      </c>
      <c r="P44">
        <v>1.6993499000000001</v>
      </c>
      <c r="Q44">
        <v>1.1967759</v>
      </c>
      <c r="R44">
        <v>2.4129749999999999</v>
      </c>
      <c r="S44" s="1">
        <v>3.035533E-3</v>
      </c>
      <c r="T44" t="str">
        <f t="shared" si="10"/>
        <v>1.7(1.2-2.41)</v>
      </c>
      <c r="U44">
        <f t="shared" si="11"/>
        <v>3.0000000000000001E-3</v>
      </c>
    </row>
    <row r="45" spans="1:21" x14ac:dyDescent="0.3">
      <c r="A45" t="s">
        <v>20</v>
      </c>
      <c r="B45">
        <v>0.76334729999999995</v>
      </c>
      <c r="C45">
        <v>0.69821860000000002</v>
      </c>
      <c r="D45">
        <v>0.83455100000000004</v>
      </c>
      <c r="E45" s="1">
        <v>2.9414249999999999E-9</v>
      </c>
      <c r="F45" t="str">
        <f t="shared" si="6"/>
        <v>0.76(0.7-0.83)</v>
      </c>
      <c r="G45" t="str">
        <f t="shared" si="7"/>
        <v>&lt;0.001</v>
      </c>
      <c r="H45" t="s">
        <v>18</v>
      </c>
      <c r="I45">
        <v>1.3097490000000001</v>
      </c>
      <c r="J45">
        <v>1.1038265</v>
      </c>
      <c r="K45">
        <v>1.554087</v>
      </c>
      <c r="L45" s="1">
        <v>1.9891919999999999E-3</v>
      </c>
      <c r="M45" t="str">
        <f t="shared" si="8"/>
        <v>1.31(1.1-1.55)</v>
      </c>
      <c r="N45">
        <f t="shared" si="9"/>
        <v>2E-3</v>
      </c>
      <c r="O45" t="s">
        <v>18</v>
      </c>
      <c r="P45">
        <v>2.3631129999999998</v>
      </c>
      <c r="Q45">
        <v>1.5666895000000001</v>
      </c>
      <c r="R45">
        <v>3.5643965999999998</v>
      </c>
      <c r="S45" s="1">
        <v>4.1155480000000001E-5</v>
      </c>
      <c r="T45" t="str">
        <f t="shared" si="10"/>
        <v>2.36(1.57-3.56)</v>
      </c>
      <c r="U45" t="str">
        <f t="shared" si="11"/>
        <v>&lt;0.001</v>
      </c>
    </row>
    <row r="46" spans="1:21" x14ac:dyDescent="0.3">
      <c r="A46" t="s">
        <v>21</v>
      </c>
      <c r="B46">
        <v>0.86080310000000004</v>
      </c>
      <c r="C46">
        <v>0.73274099999999998</v>
      </c>
      <c r="D46">
        <v>1.0112468999999999</v>
      </c>
      <c r="E46" s="1">
        <v>6.8171129999999996E-2</v>
      </c>
      <c r="F46" t="str">
        <f t="shared" si="6"/>
        <v>0.86(0.73-1.01)</v>
      </c>
      <c r="G46">
        <f t="shared" si="7"/>
        <v>6.8000000000000005E-2</v>
      </c>
      <c r="H46" t="s">
        <v>19</v>
      </c>
      <c r="I46">
        <v>1.4689506999999999</v>
      </c>
      <c r="J46">
        <v>1.2457609999999999</v>
      </c>
      <c r="K46">
        <v>1.7321267</v>
      </c>
      <c r="L46" s="1">
        <v>4.7991679999999997E-6</v>
      </c>
      <c r="M46" t="str">
        <f t="shared" si="8"/>
        <v>1.47(1.25-1.73)</v>
      </c>
      <c r="N46" t="str">
        <f t="shared" si="9"/>
        <v>&lt;0.001</v>
      </c>
      <c r="O46" t="s">
        <v>19</v>
      </c>
      <c r="P46">
        <v>2.4088604</v>
      </c>
      <c r="Q46">
        <v>1.553993</v>
      </c>
      <c r="R46">
        <v>3.7339991000000001</v>
      </c>
      <c r="S46" s="1">
        <v>8.4553109999999996E-5</v>
      </c>
      <c r="T46" t="str">
        <f t="shared" si="10"/>
        <v>2.41(1.55-3.73)</v>
      </c>
      <c r="U46" t="str">
        <f t="shared" si="11"/>
        <v>&lt;0.001</v>
      </c>
    </row>
    <row r="47" spans="1:21" x14ac:dyDescent="0.3">
      <c r="A47" t="s">
        <v>22</v>
      </c>
      <c r="B47">
        <v>1.9842043</v>
      </c>
      <c r="C47">
        <v>1.750497</v>
      </c>
      <c r="D47">
        <v>2.2491137000000001</v>
      </c>
      <c r="E47" s="1">
        <v>8.4948169999999996E-27</v>
      </c>
      <c r="F47" t="str">
        <f t="shared" si="6"/>
        <v>1.98(1.75-2.25)</v>
      </c>
      <c r="G47" t="str">
        <f t="shared" si="7"/>
        <v>&lt;0.001</v>
      </c>
      <c r="H47" t="s">
        <v>20</v>
      </c>
      <c r="I47">
        <v>0.78876199999999996</v>
      </c>
      <c r="J47">
        <v>0.71610629999999997</v>
      </c>
      <c r="K47">
        <v>0.86878940000000004</v>
      </c>
      <c r="L47" s="1">
        <v>1.488989E-6</v>
      </c>
      <c r="M47" t="str">
        <f t="shared" si="8"/>
        <v>0.79(0.72-0.87)</v>
      </c>
      <c r="N47" t="str">
        <f t="shared" si="9"/>
        <v>&lt;0.001</v>
      </c>
      <c r="O47" t="s">
        <v>20</v>
      </c>
      <c r="P47">
        <v>0.62894689999999998</v>
      </c>
      <c r="Q47">
        <v>0.49827890000000002</v>
      </c>
      <c r="R47">
        <v>0.79388119999999995</v>
      </c>
      <c r="S47" s="1">
        <v>9.5186380000000006E-5</v>
      </c>
      <c r="T47" t="str">
        <f t="shared" si="10"/>
        <v>0.63(0.5-0.79)</v>
      </c>
      <c r="U47" t="str">
        <f t="shared" si="11"/>
        <v>&lt;0.001</v>
      </c>
    </row>
    <row r="48" spans="1:21" x14ac:dyDescent="0.3">
      <c r="A48" t="s">
        <v>23</v>
      </c>
      <c r="B48">
        <v>3.8703804000000002</v>
      </c>
      <c r="C48">
        <v>3.3485366000000001</v>
      </c>
      <c r="D48">
        <v>4.4735494999999998</v>
      </c>
      <c r="E48" s="1">
        <v>6.3044669999999998E-75</v>
      </c>
      <c r="F48" t="str">
        <f t="shared" si="6"/>
        <v>3.87(3.35-4.47)</v>
      </c>
      <c r="G48" t="str">
        <f t="shared" si="7"/>
        <v>&lt;0.001</v>
      </c>
      <c r="H48" t="s">
        <v>21</v>
      </c>
      <c r="I48">
        <v>0.83499129999999999</v>
      </c>
      <c r="J48">
        <v>0.70531860000000002</v>
      </c>
      <c r="K48">
        <v>0.9885043</v>
      </c>
      <c r="L48" s="1">
        <v>3.623875E-2</v>
      </c>
      <c r="M48" t="str">
        <f t="shared" si="8"/>
        <v>0.83(0.71-0.99)</v>
      </c>
      <c r="N48">
        <f t="shared" si="9"/>
        <v>3.5999999999999997E-2</v>
      </c>
      <c r="O48" t="s">
        <v>21</v>
      </c>
      <c r="P48">
        <v>1.0659559999999999</v>
      </c>
      <c r="Q48">
        <v>0.61565449999999999</v>
      </c>
      <c r="R48">
        <v>1.8456166000000001</v>
      </c>
      <c r="S48" s="1">
        <v>0.8196061</v>
      </c>
      <c r="T48" t="str">
        <f t="shared" si="10"/>
        <v>1.07(0.62-1.85)</v>
      </c>
      <c r="U48">
        <f t="shared" si="11"/>
        <v>0.82</v>
      </c>
    </row>
    <row r="49" spans="1:21" x14ac:dyDescent="0.3">
      <c r="A49" t="s">
        <v>24</v>
      </c>
      <c r="B49">
        <v>1.8546579000000001</v>
      </c>
      <c r="C49">
        <v>1.5373702</v>
      </c>
      <c r="D49">
        <v>2.2374285</v>
      </c>
      <c r="E49" s="1">
        <v>1.099913E-10</v>
      </c>
      <c r="F49" t="str">
        <f t="shared" si="6"/>
        <v>1.85(1.54-2.24)</v>
      </c>
      <c r="G49" t="str">
        <f t="shared" si="7"/>
        <v>&lt;0.001</v>
      </c>
      <c r="H49" t="s">
        <v>22</v>
      </c>
      <c r="I49">
        <v>2.2243567</v>
      </c>
      <c r="J49">
        <v>1.9249609000000001</v>
      </c>
      <c r="K49">
        <v>2.5703185</v>
      </c>
      <c r="L49" s="1">
        <v>2.2458360000000002E-27</v>
      </c>
      <c r="M49" t="str">
        <f t="shared" si="8"/>
        <v>2.22(1.92-2.57)</v>
      </c>
      <c r="N49" t="str">
        <f t="shared" si="9"/>
        <v>&lt;0.001</v>
      </c>
      <c r="O49" t="s">
        <v>22</v>
      </c>
      <c r="P49">
        <v>1.4578551</v>
      </c>
      <c r="Q49">
        <v>1.1232738</v>
      </c>
      <c r="R49">
        <v>1.8920958000000001</v>
      </c>
      <c r="S49" s="1">
        <v>4.59897E-3</v>
      </c>
      <c r="T49" t="str">
        <f t="shared" si="10"/>
        <v>1.46(1.12-1.89)</v>
      </c>
      <c r="U49">
        <f t="shared" si="11"/>
        <v>5.0000000000000001E-3</v>
      </c>
    </row>
    <row r="50" spans="1:21" x14ac:dyDescent="0.3">
      <c r="A50" t="s">
        <v>25</v>
      </c>
      <c r="B50">
        <v>0.3330013</v>
      </c>
      <c r="C50">
        <v>0.29738609999999999</v>
      </c>
      <c r="D50">
        <v>0.37288179999999999</v>
      </c>
      <c r="E50" s="1">
        <v>6.1923919999999999E-81</v>
      </c>
      <c r="F50" t="str">
        <f t="shared" si="6"/>
        <v>0.33(0.3-0.37)</v>
      </c>
      <c r="G50" t="str">
        <f t="shared" si="7"/>
        <v>&lt;0.001</v>
      </c>
      <c r="H50" t="s">
        <v>23</v>
      </c>
      <c r="I50">
        <v>4.4845483000000002</v>
      </c>
      <c r="J50">
        <v>3.8105126</v>
      </c>
      <c r="K50">
        <v>5.2778130000000001</v>
      </c>
      <c r="L50" s="1">
        <v>6.8126460000000003E-73</v>
      </c>
      <c r="M50" t="str">
        <f t="shared" si="8"/>
        <v>4.48(3.81-5.28)</v>
      </c>
      <c r="N50" t="str">
        <f t="shared" si="9"/>
        <v>&lt;0.001</v>
      </c>
      <c r="O50" t="s">
        <v>23</v>
      </c>
      <c r="P50">
        <v>1.6866513999999999</v>
      </c>
      <c r="Q50">
        <v>1.1417964</v>
      </c>
      <c r="R50">
        <v>2.4915064</v>
      </c>
      <c r="S50" s="1">
        <v>8.6363659999999995E-3</v>
      </c>
      <c r="T50" t="str">
        <f t="shared" si="10"/>
        <v>1.69(1.14-2.49)</v>
      </c>
      <c r="U50">
        <f t="shared" si="11"/>
        <v>8.9999999999999993E-3</v>
      </c>
    </row>
    <row r="51" spans="1:21" x14ac:dyDescent="0.3">
      <c r="A51" t="s">
        <v>26</v>
      </c>
      <c r="B51">
        <v>0.89577879999999999</v>
      </c>
      <c r="C51">
        <v>0.8015042</v>
      </c>
      <c r="D51">
        <v>1.0011422999999999</v>
      </c>
      <c r="E51" s="1">
        <v>5.2398859999999998E-2</v>
      </c>
      <c r="F51" t="str">
        <f t="shared" si="6"/>
        <v>0.9(0.8-1)</v>
      </c>
      <c r="G51">
        <f t="shared" si="7"/>
        <v>5.1999999999999998E-2</v>
      </c>
      <c r="H51" t="s">
        <v>24</v>
      </c>
      <c r="I51">
        <v>1.9773849999999999</v>
      </c>
      <c r="J51">
        <v>1.5984753</v>
      </c>
      <c r="K51">
        <v>2.4461132000000001</v>
      </c>
      <c r="L51" s="1">
        <v>3.350917E-10</v>
      </c>
      <c r="M51" t="str">
        <f t="shared" si="8"/>
        <v>1.98(1.6-2.45)</v>
      </c>
      <c r="N51" t="str">
        <f t="shared" si="9"/>
        <v>&lt;0.001</v>
      </c>
      <c r="O51" t="s">
        <v>24</v>
      </c>
      <c r="P51">
        <v>1.7243295000000001</v>
      </c>
      <c r="Q51">
        <v>1.1430962</v>
      </c>
      <c r="R51">
        <v>2.6011041000000001</v>
      </c>
      <c r="S51" s="1">
        <v>9.3880460000000006E-3</v>
      </c>
      <c r="T51" t="str">
        <f t="shared" si="10"/>
        <v>1.72(1.14-2.6)</v>
      </c>
      <c r="U51">
        <f t="shared" si="11"/>
        <v>8.9999999999999993E-3</v>
      </c>
    </row>
    <row r="52" spans="1:21" x14ac:dyDescent="0.3">
      <c r="A52" t="s">
        <v>27</v>
      </c>
      <c r="B52">
        <v>1.2497997999999999</v>
      </c>
      <c r="C52">
        <v>1.1238494999999999</v>
      </c>
      <c r="D52">
        <v>1.3898653999999999</v>
      </c>
      <c r="E52" s="1">
        <v>3.8829479999999997E-5</v>
      </c>
      <c r="F52" t="str">
        <f t="shared" si="6"/>
        <v>1.25(1.12-1.39)</v>
      </c>
      <c r="G52" t="str">
        <f t="shared" si="7"/>
        <v>&lt;0.001</v>
      </c>
      <c r="H52" t="s">
        <v>25</v>
      </c>
      <c r="I52">
        <v>0.29851109999999997</v>
      </c>
      <c r="J52">
        <v>0.26324239999999999</v>
      </c>
      <c r="K52">
        <v>0.3385049</v>
      </c>
      <c r="L52" s="1">
        <v>3.1898539999999998E-79</v>
      </c>
      <c r="M52" t="str">
        <f t="shared" si="8"/>
        <v>0.3(0.26-0.34)</v>
      </c>
      <c r="N52" t="str">
        <f t="shared" si="9"/>
        <v>&lt;0.001</v>
      </c>
      <c r="O52" t="s">
        <v>25</v>
      </c>
      <c r="P52">
        <v>0.57710629999999996</v>
      </c>
      <c r="Q52">
        <v>0.43674960000000002</v>
      </c>
      <c r="R52">
        <v>0.76256889999999999</v>
      </c>
      <c r="S52" s="1">
        <v>1.104325E-4</v>
      </c>
      <c r="T52" t="str">
        <f t="shared" si="10"/>
        <v>0.58(0.44-0.76)</v>
      </c>
      <c r="U52" t="str">
        <f t="shared" si="11"/>
        <v>&lt;0.001</v>
      </c>
    </row>
    <row r="53" spans="1:21" x14ac:dyDescent="0.3">
      <c r="H53" t="s">
        <v>26</v>
      </c>
      <c r="I53">
        <v>0.88077430000000001</v>
      </c>
      <c r="J53">
        <v>0.78189419999999998</v>
      </c>
      <c r="K53">
        <v>0.99215900000000001</v>
      </c>
      <c r="L53" s="1">
        <v>3.6660249999999998E-2</v>
      </c>
      <c r="M53" t="str">
        <f t="shared" si="8"/>
        <v>0.88(0.78-0.99)</v>
      </c>
      <c r="N53">
        <f t="shared" si="9"/>
        <v>3.6999999999999998E-2</v>
      </c>
      <c r="O53" t="s">
        <v>26</v>
      </c>
      <c r="P53">
        <v>1.0219726</v>
      </c>
      <c r="Q53">
        <v>0.74456999999999995</v>
      </c>
      <c r="R53">
        <v>1.4027263999999999</v>
      </c>
      <c r="S53" s="1">
        <v>0.89299390000000001</v>
      </c>
      <c r="T53" t="str">
        <f t="shared" si="10"/>
        <v>1.02(0.74-1.4)</v>
      </c>
      <c r="U53">
        <f t="shared" si="11"/>
        <v>0.89300000000000002</v>
      </c>
    </row>
    <row r="54" spans="1:21" x14ac:dyDescent="0.3">
      <c r="H54" t="s">
        <v>27</v>
      </c>
      <c r="I54">
        <v>1.3762833999999999</v>
      </c>
      <c r="J54">
        <v>1.2256560999999999</v>
      </c>
      <c r="K54">
        <v>1.5454220000000001</v>
      </c>
      <c r="L54" s="1">
        <v>6.6415369999999995E-8</v>
      </c>
      <c r="M54" t="str">
        <f t="shared" si="8"/>
        <v>1.38(1.23-1.55)</v>
      </c>
      <c r="N54" t="str">
        <f t="shared" si="9"/>
        <v>&lt;0.001</v>
      </c>
      <c r="O54" t="s">
        <v>27</v>
      </c>
      <c r="P54">
        <v>0.67747520000000006</v>
      </c>
      <c r="Q54">
        <v>0.50298310000000002</v>
      </c>
      <c r="R54">
        <v>0.91250120000000001</v>
      </c>
      <c r="S54" s="1">
        <v>1.0390079999999999E-2</v>
      </c>
      <c r="T54" t="str">
        <f t="shared" si="10"/>
        <v>0.68(0.5-0.91)</v>
      </c>
      <c r="U54">
        <f t="shared" si="11"/>
        <v>0.01</v>
      </c>
    </row>
    <row r="58" spans="1:21" x14ac:dyDescent="0.3">
      <c r="A58" t="s">
        <v>35</v>
      </c>
      <c r="B58" t="s">
        <v>31</v>
      </c>
      <c r="H58" t="s">
        <v>36</v>
      </c>
      <c r="I58" t="s">
        <v>31</v>
      </c>
      <c r="O58" t="s">
        <v>37</v>
      </c>
      <c r="P58" t="s">
        <v>31</v>
      </c>
    </row>
    <row r="60" spans="1:21" x14ac:dyDescent="0.3">
      <c r="B60" t="s">
        <v>0</v>
      </c>
      <c r="C60" t="s">
        <v>82</v>
      </c>
      <c r="D60" t="s">
        <v>50</v>
      </c>
      <c r="E60" t="s">
        <v>1</v>
      </c>
      <c r="F60" t="s">
        <v>440</v>
      </c>
      <c r="G60" t="s">
        <v>9</v>
      </c>
      <c r="I60" t="s">
        <v>0</v>
      </c>
      <c r="J60" t="s">
        <v>81</v>
      </c>
      <c r="K60" t="s">
        <v>80</v>
      </c>
      <c r="L60" t="s">
        <v>1</v>
      </c>
      <c r="M60" t="s">
        <v>440</v>
      </c>
      <c r="N60" t="s">
        <v>9</v>
      </c>
      <c r="P60" t="s">
        <v>0</v>
      </c>
      <c r="Q60" t="s">
        <v>79</v>
      </c>
      <c r="R60" t="s">
        <v>80</v>
      </c>
      <c r="S60" t="s">
        <v>1</v>
      </c>
      <c r="T60" t="s">
        <v>440</v>
      </c>
      <c r="U60" t="s">
        <v>9</v>
      </c>
    </row>
    <row r="61" spans="1:21" x14ac:dyDescent="0.3">
      <c r="A61" t="s">
        <v>8</v>
      </c>
      <c r="B61">
        <v>1.0500038</v>
      </c>
      <c r="C61">
        <v>1.0446192999999999</v>
      </c>
      <c r="D61">
        <v>1.0554161</v>
      </c>
      <c r="E61" s="1">
        <v>3.1443890000000002E-77</v>
      </c>
      <c r="F61" t="str">
        <f>ROUND($B61,2)&amp;"("&amp;ROUND($C61,2)&amp;"-"&amp;ROUND($D61,2)&amp;")"</f>
        <v>1.05(1.04-1.06)</v>
      </c>
      <c r="G61" t="str">
        <f>IF($E61&lt;0.001,"&lt;0.001",ROUND($E61,3))</f>
        <v>&lt;0.001</v>
      </c>
      <c r="H61" t="s">
        <v>8</v>
      </c>
      <c r="I61">
        <v>1.0469913</v>
      </c>
      <c r="J61">
        <v>1.0412005</v>
      </c>
      <c r="K61">
        <v>1.0528143000000001</v>
      </c>
      <c r="L61" s="1">
        <v>3.2131319999999998E-59</v>
      </c>
      <c r="M61" t="str">
        <f>ROUND($I61,2)&amp;"("&amp;ROUND($J61,2)&amp;"-"&amp;ROUND($K61,2)&amp;")"</f>
        <v>1.05(1.04-1.05)</v>
      </c>
      <c r="N61" t="str">
        <f>IF($L61&lt;0.001,"&lt;0.001",ROUND($L61,3))</f>
        <v>&lt;0.001</v>
      </c>
      <c r="O61" t="s">
        <v>8</v>
      </c>
      <c r="P61">
        <v>1.0679924999999999</v>
      </c>
      <c r="Q61">
        <v>1.0534672</v>
      </c>
      <c r="R61">
        <v>1.0827180000000001</v>
      </c>
      <c r="S61" s="1">
        <v>4.7310549999999999E-21</v>
      </c>
      <c r="T61" t="str">
        <f>ROUND($P61,2)&amp;"("&amp;ROUND($Q61,2)&amp;"-"&amp;ROUND($R61,2)&amp;")"</f>
        <v>1.07(1.05-1.08)</v>
      </c>
      <c r="U61" t="str">
        <f>IF($S61&lt;0.001,"&lt;0.001",ROUND($S61,3))</f>
        <v>&lt;0.001</v>
      </c>
    </row>
    <row r="62" spans="1:21" x14ac:dyDescent="0.3">
      <c r="A62" t="s">
        <v>10</v>
      </c>
      <c r="B62">
        <v>1.9545418999999999</v>
      </c>
      <c r="C62">
        <v>1.7521568999999999</v>
      </c>
      <c r="D62">
        <v>2.1803034999999999</v>
      </c>
      <c r="E62" s="1">
        <v>2.9173529999999999E-33</v>
      </c>
      <c r="F62" t="str">
        <f t="shared" ref="F62:F79" si="12">ROUND($B62,2)&amp;"("&amp;ROUND($C62,2)&amp;"-"&amp;ROUND($D62,2)&amp;")"</f>
        <v>1.95(1.75-2.18)</v>
      </c>
      <c r="G62" t="str">
        <f t="shared" ref="G62:G79" si="13">IF($E62&lt;0.001,"&lt;0.001",ROUND($E62,3))</f>
        <v>&lt;0.001</v>
      </c>
      <c r="H62" t="s">
        <v>10</v>
      </c>
      <c r="I62">
        <v>1.8855687000000001</v>
      </c>
      <c r="J62">
        <v>1.6753316</v>
      </c>
      <c r="K62">
        <v>2.1221885999999999</v>
      </c>
      <c r="L62" s="1">
        <v>7.3677410000000003E-26</v>
      </c>
      <c r="M62" t="str">
        <f t="shared" ref="M62:M79" si="14">ROUND($I62,2)&amp;"("&amp;ROUND($J62,2)&amp;"-"&amp;ROUND($K62,2)&amp;")"</f>
        <v>1.89(1.68-2.12)</v>
      </c>
      <c r="N62" t="str">
        <f t="shared" ref="N62:N79" si="15">IF($L62&lt;0.001,"&lt;0.001",ROUND($L62,3))</f>
        <v>&lt;0.001</v>
      </c>
      <c r="O62" t="s">
        <v>10</v>
      </c>
      <c r="P62">
        <v>2.4509192</v>
      </c>
      <c r="Q62">
        <v>1.8375817000000001</v>
      </c>
      <c r="R62">
        <v>3.2689732</v>
      </c>
      <c r="S62" s="1">
        <v>1.0570580000000001E-9</v>
      </c>
      <c r="T62" t="str">
        <f t="shared" ref="T62:T79" si="16">ROUND($P62,2)&amp;"("&amp;ROUND($Q62,2)&amp;"-"&amp;ROUND($R62,2)&amp;")"</f>
        <v>2.45(1.84-3.27)</v>
      </c>
      <c r="U62" t="str">
        <f t="shared" ref="U62:U79" si="17">IF($S62&lt;0.001,"&lt;0.001",ROUND($S62,3))</f>
        <v>&lt;0.001</v>
      </c>
    </row>
    <row r="63" spans="1:21" x14ac:dyDescent="0.3">
      <c r="A63" t="s">
        <v>11</v>
      </c>
      <c r="B63">
        <v>1.0023991999999999</v>
      </c>
      <c r="C63">
        <v>1.0004942999999999</v>
      </c>
      <c r="D63">
        <v>1.0043078000000001</v>
      </c>
      <c r="E63" s="1">
        <v>1.354491E-2</v>
      </c>
      <c r="F63" t="str">
        <f t="shared" si="12"/>
        <v>1(1-1)</v>
      </c>
      <c r="G63">
        <f t="shared" si="13"/>
        <v>1.4E-2</v>
      </c>
      <c r="H63" t="s">
        <v>11</v>
      </c>
      <c r="I63">
        <v>1.0018369</v>
      </c>
      <c r="J63">
        <v>0.99969699999999995</v>
      </c>
      <c r="K63">
        <v>1.0039815000000001</v>
      </c>
      <c r="L63" s="1">
        <v>9.2530699999999994E-2</v>
      </c>
      <c r="M63" t="str">
        <f t="shared" si="14"/>
        <v>1(1-1)</v>
      </c>
      <c r="N63">
        <f t="shared" si="15"/>
        <v>9.2999999999999999E-2</v>
      </c>
      <c r="O63" t="s">
        <v>11</v>
      </c>
      <c r="P63">
        <v>1.0043564</v>
      </c>
      <c r="Q63">
        <v>1.0004044000000001</v>
      </c>
      <c r="R63">
        <v>1.0083241000000001</v>
      </c>
      <c r="S63" s="1">
        <v>3.069976E-2</v>
      </c>
      <c r="T63" t="str">
        <f t="shared" si="16"/>
        <v>1(1-1.01)</v>
      </c>
      <c r="U63">
        <f t="shared" si="17"/>
        <v>3.1E-2</v>
      </c>
    </row>
    <row r="64" spans="1:21" x14ac:dyDescent="0.3">
      <c r="A64" t="s">
        <v>12</v>
      </c>
      <c r="B64">
        <v>0.91010349999999995</v>
      </c>
      <c r="C64">
        <v>0.89503169999999999</v>
      </c>
      <c r="D64">
        <v>0.92542919999999995</v>
      </c>
      <c r="E64" s="1">
        <v>2.056396E-28</v>
      </c>
      <c r="F64" t="str">
        <f t="shared" si="12"/>
        <v>0.91(0.9-0.93)</v>
      </c>
      <c r="G64" t="str">
        <f t="shared" si="13"/>
        <v>&lt;0.001</v>
      </c>
      <c r="H64" t="s">
        <v>12</v>
      </c>
      <c r="I64">
        <v>0.91362370000000004</v>
      </c>
      <c r="J64">
        <v>0.8972213</v>
      </c>
      <c r="K64">
        <v>0.93032590000000004</v>
      </c>
      <c r="L64" s="1">
        <v>1.4650699999999999E-22</v>
      </c>
      <c r="M64" t="str">
        <f t="shared" si="14"/>
        <v>0.91(0.9-0.93)</v>
      </c>
      <c r="N64" t="str">
        <f t="shared" si="15"/>
        <v>&lt;0.001</v>
      </c>
      <c r="O64" t="s">
        <v>12</v>
      </c>
      <c r="P64">
        <v>0.89146970000000003</v>
      </c>
      <c r="Q64">
        <v>0.85373500000000002</v>
      </c>
      <c r="R64">
        <v>0.93087220000000004</v>
      </c>
      <c r="S64" s="1">
        <v>1.9281409999999999E-7</v>
      </c>
      <c r="T64" t="str">
        <f t="shared" si="16"/>
        <v>0.89(0.85-0.93)</v>
      </c>
      <c r="U64" t="str">
        <f t="shared" si="17"/>
        <v>&lt;0.001</v>
      </c>
    </row>
    <row r="65" spans="1:21" x14ac:dyDescent="0.3">
      <c r="A65" t="s">
        <v>13</v>
      </c>
      <c r="B65">
        <v>0.96898740000000005</v>
      </c>
      <c r="C65">
        <v>0.83444529999999995</v>
      </c>
      <c r="D65">
        <v>1.1252224</v>
      </c>
      <c r="E65" s="1">
        <v>0.67956229999999995</v>
      </c>
      <c r="F65" t="str">
        <f t="shared" si="12"/>
        <v>0.97(0.83-1.13)</v>
      </c>
      <c r="G65">
        <f t="shared" si="13"/>
        <v>0.68</v>
      </c>
      <c r="H65" t="s">
        <v>13</v>
      </c>
      <c r="I65">
        <v>0.92623</v>
      </c>
      <c r="J65">
        <v>0.78548949999999995</v>
      </c>
      <c r="K65">
        <v>1.0921877</v>
      </c>
      <c r="L65" s="1">
        <v>0.36213400000000001</v>
      </c>
      <c r="M65" t="str">
        <f t="shared" si="14"/>
        <v>0.93(0.79-1.09)</v>
      </c>
      <c r="N65">
        <f t="shared" si="15"/>
        <v>0.36199999999999999</v>
      </c>
      <c r="O65" t="s">
        <v>13</v>
      </c>
      <c r="P65">
        <v>1.18285</v>
      </c>
      <c r="Q65">
        <v>0.82838880000000004</v>
      </c>
      <c r="R65">
        <v>1.6889822999999999</v>
      </c>
      <c r="S65" s="1">
        <v>0.3554832</v>
      </c>
      <c r="T65" t="str">
        <f t="shared" si="16"/>
        <v>1.18(0.83-1.69)</v>
      </c>
      <c r="U65">
        <f t="shared" si="17"/>
        <v>0.35499999999999998</v>
      </c>
    </row>
    <row r="66" spans="1:21" x14ac:dyDescent="0.3">
      <c r="A66" t="s">
        <v>14</v>
      </c>
      <c r="B66">
        <v>0.98252550000000005</v>
      </c>
      <c r="C66">
        <v>0.85207719999999998</v>
      </c>
      <c r="D66">
        <v>1.1329448</v>
      </c>
      <c r="E66" s="1">
        <v>0.80834799999999996</v>
      </c>
      <c r="F66" t="str">
        <f t="shared" si="12"/>
        <v>0.98(0.85-1.13)</v>
      </c>
      <c r="G66">
        <f t="shared" si="13"/>
        <v>0.80800000000000005</v>
      </c>
      <c r="H66" t="s">
        <v>14</v>
      </c>
      <c r="I66">
        <v>1.0204568999999999</v>
      </c>
      <c r="J66">
        <v>0.87547839999999999</v>
      </c>
      <c r="K66">
        <v>1.1894437</v>
      </c>
      <c r="L66" s="1">
        <v>0.79562390000000005</v>
      </c>
      <c r="M66" t="str">
        <f t="shared" si="14"/>
        <v>1.02(0.88-1.19)</v>
      </c>
      <c r="N66">
        <f t="shared" si="15"/>
        <v>0.79600000000000004</v>
      </c>
      <c r="O66" t="s">
        <v>14</v>
      </c>
      <c r="P66">
        <v>0.76477090000000003</v>
      </c>
      <c r="Q66">
        <v>0.51726510000000003</v>
      </c>
      <c r="R66">
        <v>1.1307054999999999</v>
      </c>
      <c r="S66" s="1">
        <v>0.17887459999999999</v>
      </c>
      <c r="T66" t="str">
        <f t="shared" si="16"/>
        <v>0.76(0.52-1.13)</v>
      </c>
      <c r="U66">
        <f t="shared" si="17"/>
        <v>0.17899999999999999</v>
      </c>
    </row>
    <row r="67" spans="1:21" x14ac:dyDescent="0.3">
      <c r="A67" t="s">
        <v>15</v>
      </c>
      <c r="B67">
        <v>0.93706129999999999</v>
      </c>
      <c r="C67">
        <v>0.82251039999999997</v>
      </c>
      <c r="D67">
        <v>1.0675657000000001</v>
      </c>
      <c r="E67" s="1">
        <v>0.32848579999999999</v>
      </c>
      <c r="F67" t="str">
        <f t="shared" si="12"/>
        <v>0.94(0.82-1.07)</v>
      </c>
      <c r="G67">
        <f t="shared" si="13"/>
        <v>0.32800000000000001</v>
      </c>
      <c r="H67" t="s">
        <v>15</v>
      </c>
      <c r="I67">
        <v>0.93632389999999999</v>
      </c>
      <c r="J67">
        <v>0.81228299999999998</v>
      </c>
      <c r="K67">
        <v>1.0793067000000001</v>
      </c>
      <c r="L67" s="1">
        <v>0.36419370000000001</v>
      </c>
      <c r="M67" t="str">
        <f t="shared" si="14"/>
        <v>0.94(0.81-1.08)</v>
      </c>
      <c r="N67">
        <f t="shared" si="15"/>
        <v>0.36399999999999999</v>
      </c>
      <c r="O67" t="s">
        <v>15</v>
      </c>
      <c r="P67">
        <v>0.92708000000000002</v>
      </c>
      <c r="Q67">
        <v>0.66784399999999999</v>
      </c>
      <c r="R67">
        <v>1.2869432000000001</v>
      </c>
      <c r="S67" s="1">
        <v>0.65093909999999999</v>
      </c>
      <c r="T67" t="str">
        <f t="shared" si="16"/>
        <v>0.93(0.67-1.29)</v>
      </c>
      <c r="U67">
        <f t="shared" si="17"/>
        <v>0.65100000000000002</v>
      </c>
    </row>
    <row r="68" spans="1:21" x14ac:dyDescent="0.3">
      <c r="A68" t="s">
        <v>16</v>
      </c>
      <c r="B68">
        <v>0.8386477</v>
      </c>
      <c r="C68">
        <v>0.74468299999999998</v>
      </c>
      <c r="D68">
        <v>0.944469</v>
      </c>
      <c r="E68" s="1">
        <v>3.7045749999999999E-3</v>
      </c>
      <c r="F68" t="str">
        <f t="shared" si="12"/>
        <v>0.84(0.74-0.94)</v>
      </c>
      <c r="G68">
        <f t="shared" si="13"/>
        <v>4.0000000000000001E-3</v>
      </c>
      <c r="H68" t="s">
        <v>16</v>
      </c>
      <c r="I68">
        <v>0.84075489999999997</v>
      </c>
      <c r="J68">
        <v>0.73855190000000004</v>
      </c>
      <c r="K68">
        <v>0.95710099999999998</v>
      </c>
      <c r="L68" s="1">
        <v>8.7155280000000002E-3</v>
      </c>
      <c r="M68" t="str">
        <f t="shared" si="14"/>
        <v>0.84(0.74-0.96)</v>
      </c>
      <c r="N68">
        <f t="shared" si="15"/>
        <v>8.9999999999999993E-3</v>
      </c>
      <c r="O68" t="s">
        <v>16</v>
      </c>
      <c r="P68">
        <v>0.81630800000000003</v>
      </c>
      <c r="Q68">
        <v>0.6059987</v>
      </c>
      <c r="R68">
        <v>1.0996041999999999</v>
      </c>
      <c r="S68" s="1">
        <v>0.18178159999999999</v>
      </c>
      <c r="T68" t="str">
        <f t="shared" si="16"/>
        <v>0.82(0.61-1.1)</v>
      </c>
      <c r="U68">
        <f t="shared" si="17"/>
        <v>0.182</v>
      </c>
    </row>
    <row r="69" spans="1:21" x14ac:dyDescent="0.3">
      <c r="A69" t="s">
        <v>17</v>
      </c>
      <c r="B69">
        <v>1.1715422</v>
      </c>
      <c r="C69">
        <v>1.0399094</v>
      </c>
      <c r="D69">
        <v>1.3198372</v>
      </c>
      <c r="E69" s="1">
        <v>9.2279340000000001E-3</v>
      </c>
      <c r="F69" t="str">
        <f t="shared" si="12"/>
        <v>1.17(1.04-1.32)</v>
      </c>
      <c r="G69">
        <f t="shared" si="13"/>
        <v>8.9999999999999993E-3</v>
      </c>
      <c r="H69" t="s">
        <v>17</v>
      </c>
      <c r="I69">
        <v>1.1078441000000001</v>
      </c>
      <c r="J69">
        <v>0.97562420000000005</v>
      </c>
      <c r="K69">
        <v>1.2579829</v>
      </c>
      <c r="L69" s="1">
        <v>0.11424479999999999</v>
      </c>
      <c r="M69" t="str">
        <f t="shared" si="14"/>
        <v>1.11(0.98-1.26)</v>
      </c>
      <c r="N69">
        <f t="shared" si="15"/>
        <v>0.114</v>
      </c>
      <c r="O69" t="s">
        <v>17</v>
      </c>
      <c r="P69">
        <v>1.7145527</v>
      </c>
      <c r="Q69">
        <v>1.2073048</v>
      </c>
      <c r="R69">
        <v>2.4349204000000002</v>
      </c>
      <c r="S69" s="1">
        <v>2.5898639999999999E-3</v>
      </c>
      <c r="T69" t="str">
        <f t="shared" si="16"/>
        <v>1.71(1.21-2.43)</v>
      </c>
      <c r="U69">
        <f t="shared" si="17"/>
        <v>3.0000000000000001E-3</v>
      </c>
    </row>
    <row r="70" spans="1:21" x14ac:dyDescent="0.3">
      <c r="A70" t="s">
        <v>18</v>
      </c>
      <c r="B70">
        <v>1.4318754</v>
      </c>
      <c r="C70">
        <v>1.2245839000000001</v>
      </c>
      <c r="D70">
        <v>1.6742561</v>
      </c>
      <c r="E70" s="1">
        <v>6.821936E-6</v>
      </c>
      <c r="F70" t="str">
        <f t="shared" si="12"/>
        <v>1.43(1.22-1.67)</v>
      </c>
      <c r="G70" t="str">
        <f t="shared" si="13"/>
        <v>&lt;0.001</v>
      </c>
      <c r="H70" t="s">
        <v>18</v>
      </c>
      <c r="I70">
        <v>1.3124716000000001</v>
      </c>
      <c r="J70">
        <v>1.1062539</v>
      </c>
      <c r="K70">
        <v>1.5571305</v>
      </c>
      <c r="L70" s="1">
        <v>1.821919E-3</v>
      </c>
      <c r="M70" t="str">
        <f t="shared" si="14"/>
        <v>1.31(1.11-1.56)</v>
      </c>
      <c r="N70">
        <f t="shared" si="15"/>
        <v>2E-3</v>
      </c>
      <c r="O70" t="s">
        <v>18</v>
      </c>
      <c r="P70">
        <v>2.3995961000000001</v>
      </c>
      <c r="Q70">
        <v>1.5902688</v>
      </c>
      <c r="R70">
        <v>3.6208102000000002</v>
      </c>
      <c r="S70" s="1">
        <v>3.0450109999999999E-5</v>
      </c>
      <c r="T70" t="str">
        <f t="shared" si="16"/>
        <v>2.4(1.59-3.62)</v>
      </c>
      <c r="U70" t="str">
        <f t="shared" si="17"/>
        <v>&lt;0.001</v>
      </c>
    </row>
    <row r="71" spans="1:21" x14ac:dyDescent="0.3">
      <c r="A71" t="s">
        <v>19</v>
      </c>
      <c r="B71">
        <v>1.5675078</v>
      </c>
      <c r="C71">
        <v>1.3437682</v>
      </c>
      <c r="D71">
        <v>1.8285005000000001</v>
      </c>
      <c r="E71" s="1">
        <v>1.0633890000000001E-8</v>
      </c>
      <c r="F71" t="str">
        <f t="shared" si="12"/>
        <v>1.57(1.34-1.83)</v>
      </c>
      <c r="G71" t="str">
        <f t="shared" si="13"/>
        <v>&lt;0.001</v>
      </c>
      <c r="H71" t="s">
        <v>19</v>
      </c>
      <c r="I71">
        <v>1.4655252999999999</v>
      </c>
      <c r="J71">
        <v>1.2428937</v>
      </c>
      <c r="K71">
        <v>1.7280354</v>
      </c>
      <c r="L71" s="1">
        <v>5.4558240000000002E-6</v>
      </c>
      <c r="M71" t="str">
        <f t="shared" si="14"/>
        <v>1.47(1.24-1.73)</v>
      </c>
      <c r="N71" t="str">
        <f t="shared" si="15"/>
        <v>&lt;0.001</v>
      </c>
      <c r="O71" t="s">
        <v>19</v>
      </c>
      <c r="P71">
        <v>2.3949644000000001</v>
      </c>
      <c r="Q71">
        <v>1.5445584999999999</v>
      </c>
      <c r="R71">
        <v>3.7135881999999998</v>
      </c>
      <c r="S71" s="1">
        <v>9.5189810000000002E-5</v>
      </c>
      <c r="T71" t="str">
        <f t="shared" si="16"/>
        <v>2.39(1.54-3.71)</v>
      </c>
      <c r="U71" t="str">
        <f t="shared" si="17"/>
        <v>&lt;0.001</v>
      </c>
    </row>
    <row r="72" spans="1:21" x14ac:dyDescent="0.3">
      <c r="A72" t="s">
        <v>20</v>
      </c>
      <c r="B72">
        <v>0.75582329999999998</v>
      </c>
      <c r="C72">
        <v>0.69148019999999999</v>
      </c>
      <c r="D72">
        <v>0.82615349999999999</v>
      </c>
      <c r="E72" s="1">
        <v>6.9642979999999998E-10</v>
      </c>
      <c r="F72" t="str">
        <f t="shared" si="12"/>
        <v>0.76(0.69-0.83)</v>
      </c>
      <c r="G72" t="str">
        <f t="shared" si="13"/>
        <v>&lt;0.001</v>
      </c>
      <c r="H72" t="s">
        <v>20</v>
      </c>
      <c r="I72">
        <v>0.78301109999999996</v>
      </c>
      <c r="J72">
        <v>0.7110455</v>
      </c>
      <c r="K72">
        <v>0.86226040000000004</v>
      </c>
      <c r="L72" s="1">
        <v>6.6014690000000002E-7</v>
      </c>
      <c r="M72" t="str">
        <f t="shared" si="14"/>
        <v>0.78(0.71-0.86)</v>
      </c>
      <c r="N72" t="str">
        <f t="shared" si="15"/>
        <v>&lt;0.001</v>
      </c>
      <c r="O72" t="s">
        <v>20</v>
      </c>
      <c r="P72">
        <v>0.61426360000000002</v>
      </c>
      <c r="Q72">
        <v>0.48687589999999997</v>
      </c>
      <c r="R72">
        <v>0.77498160000000005</v>
      </c>
      <c r="S72" s="1">
        <v>3.9620840000000001E-5</v>
      </c>
      <c r="T72" t="str">
        <f t="shared" si="16"/>
        <v>0.61(0.49-0.77)</v>
      </c>
      <c r="U72" t="str">
        <f t="shared" si="17"/>
        <v>&lt;0.001</v>
      </c>
    </row>
    <row r="73" spans="1:21" x14ac:dyDescent="0.3">
      <c r="A73" t="s">
        <v>21</v>
      </c>
      <c r="B73">
        <v>0.84990100000000002</v>
      </c>
      <c r="C73">
        <v>0.72366129999999995</v>
      </c>
      <c r="D73">
        <v>0.99816280000000002</v>
      </c>
      <c r="E73" s="1">
        <v>4.7436939999999997E-2</v>
      </c>
      <c r="F73" t="str">
        <f t="shared" si="12"/>
        <v>0.85(0.72-1)</v>
      </c>
      <c r="G73">
        <f t="shared" si="13"/>
        <v>4.7E-2</v>
      </c>
      <c r="H73" t="s">
        <v>21</v>
      </c>
      <c r="I73">
        <v>0.82619050000000005</v>
      </c>
      <c r="J73">
        <v>0.69811380000000001</v>
      </c>
      <c r="K73">
        <v>0.97776439999999998</v>
      </c>
      <c r="L73" s="1">
        <v>2.6309519999999999E-2</v>
      </c>
      <c r="M73" t="str">
        <f t="shared" si="14"/>
        <v>0.83(0.7-0.98)</v>
      </c>
      <c r="N73">
        <f t="shared" si="15"/>
        <v>2.5999999999999999E-2</v>
      </c>
      <c r="O73" t="s">
        <v>21</v>
      </c>
      <c r="P73">
        <v>1.0397346999999999</v>
      </c>
      <c r="Q73">
        <v>0.60065710000000005</v>
      </c>
      <c r="R73">
        <v>1.7997761000000001</v>
      </c>
      <c r="S73" s="1">
        <v>0.88930290000000001</v>
      </c>
      <c r="T73" t="str">
        <f t="shared" si="16"/>
        <v>1.04(0.6-1.8)</v>
      </c>
      <c r="U73">
        <f t="shared" si="17"/>
        <v>0.88900000000000001</v>
      </c>
    </row>
    <row r="74" spans="1:21" x14ac:dyDescent="0.3">
      <c r="A74" t="s">
        <v>22</v>
      </c>
      <c r="B74">
        <v>1.9867986</v>
      </c>
      <c r="C74">
        <v>1.7527664000000001</v>
      </c>
      <c r="D74">
        <v>2.2520791999999998</v>
      </c>
      <c r="E74" s="1">
        <v>6.8798830000000002E-27</v>
      </c>
      <c r="F74" t="str">
        <f t="shared" si="12"/>
        <v>1.99(1.75-2.25)</v>
      </c>
      <c r="G74" t="str">
        <f t="shared" si="13"/>
        <v>&lt;0.001</v>
      </c>
      <c r="H74" t="s">
        <v>22</v>
      </c>
      <c r="I74">
        <v>2.2271125999999999</v>
      </c>
      <c r="J74">
        <v>1.9273100999999999</v>
      </c>
      <c r="K74">
        <v>2.5735507000000002</v>
      </c>
      <c r="L74" s="1">
        <v>1.8977989999999999E-27</v>
      </c>
      <c r="M74" t="str">
        <f t="shared" si="14"/>
        <v>2.23(1.93-2.57)</v>
      </c>
      <c r="N74" t="str">
        <f t="shared" si="15"/>
        <v>&lt;0.001</v>
      </c>
      <c r="O74" t="s">
        <v>22</v>
      </c>
      <c r="P74">
        <v>1.4622343</v>
      </c>
      <c r="Q74">
        <v>1.1267623</v>
      </c>
      <c r="R74">
        <v>1.8975868</v>
      </c>
      <c r="S74" s="1">
        <v>4.2696749999999997E-3</v>
      </c>
      <c r="T74" t="str">
        <f t="shared" si="16"/>
        <v>1.46(1.13-1.9)</v>
      </c>
      <c r="U74">
        <f t="shared" si="17"/>
        <v>4.0000000000000001E-3</v>
      </c>
    </row>
    <row r="75" spans="1:21" x14ac:dyDescent="0.3">
      <c r="A75" t="s">
        <v>23</v>
      </c>
      <c r="B75">
        <v>3.8548357000000002</v>
      </c>
      <c r="C75">
        <v>3.3350678999999999</v>
      </c>
      <c r="D75">
        <v>4.4556089999999999</v>
      </c>
      <c r="E75" s="1">
        <v>1.73571E-74</v>
      </c>
      <c r="F75" t="str">
        <f t="shared" si="12"/>
        <v>3.85(3.34-4.46)</v>
      </c>
      <c r="G75" t="str">
        <f t="shared" si="13"/>
        <v>&lt;0.001</v>
      </c>
      <c r="H75" t="s">
        <v>23</v>
      </c>
      <c r="I75">
        <v>4.4684910000000002</v>
      </c>
      <c r="J75">
        <v>3.7969868999999998</v>
      </c>
      <c r="K75">
        <v>5.2587520000000003</v>
      </c>
      <c r="L75" s="1">
        <v>1.3978649999999999E-72</v>
      </c>
      <c r="M75" t="str">
        <f t="shared" si="14"/>
        <v>4.47(3.8-5.26)</v>
      </c>
      <c r="N75" t="str">
        <f t="shared" si="15"/>
        <v>&lt;0.001</v>
      </c>
      <c r="O75" t="s">
        <v>23</v>
      </c>
      <c r="P75">
        <v>1.6806596</v>
      </c>
      <c r="Q75">
        <v>1.1372095</v>
      </c>
      <c r="R75">
        <v>2.4838138000000001</v>
      </c>
      <c r="S75" s="1">
        <v>9.1839699999999996E-3</v>
      </c>
      <c r="T75" t="str">
        <f t="shared" si="16"/>
        <v>1.68(1.14-2.48)</v>
      </c>
      <c r="U75">
        <f t="shared" si="17"/>
        <v>8.9999999999999993E-3</v>
      </c>
    </row>
    <row r="76" spans="1:21" x14ac:dyDescent="0.3">
      <c r="A76" t="s">
        <v>24</v>
      </c>
      <c r="B76">
        <v>1.8515003999999999</v>
      </c>
      <c r="C76">
        <v>1.5347614000000001</v>
      </c>
      <c r="D76">
        <v>2.2336068999999998</v>
      </c>
      <c r="E76" s="1">
        <v>1.235293E-10</v>
      </c>
      <c r="F76" t="str">
        <f t="shared" si="12"/>
        <v>1.85(1.53-2.23)</v>
      </c>
      <c r="G76" t="str">
        <f t="shared" si="13"/>
        <v>&lt;0.001</v>
      </c>
      <c r="H76" t="s">
        <v>24</v>
      </c>
      <c r="I76">
        <v>1.9785168</v>
      </c>
      <c r="J76">
        <v>1.5993929</v>
      </c>
      <c r="K76">
        <v>2.4475091</v>
      </c>
      <c r="L76" s="1">
        <v>3.2380739999999999E-10</v>
      </c>
      <c r="M76" t="str">
        <f t="shared" si="14"/>
        <v>1.98(1.6-2.45)</v>
      </c>
      <c r="N76" t="str">
        <f t="shared" si="15"/>
        <v>&lt;0.001</v>
      </c>
      <c r="O76" t="s">
        <v>24</v>
      </c>
      <c r="P76">
        <v>1.703905</v>
      </c>
      <c r="Q76">
        <v>1.130029</v>
      </c>
      <c r="R76">
        <v>2.5692192</v>
      </c>
      <c r="S76" s="1">
        <v>1.097892E-2</v>
      </c>
      <c r="T76" t="str">
        <f t="shared" si="16"/>
        <v>1.7(1.13-2.57)</v>
      </c>
      <c r="U76">
        <f t="shared" si="17"/>
        <v>1.0999999999999999E-2</v>
      </c>
    </row>
    <row r="77" spans="1:21" x14ac:dyDescent="0.3">
      <c r="A77" t="s">
        <v>25</v>
      </c>
      <c r="B77">
        <v>0.33023330000000001</v>
      </c>
      <c r="C77">
        <v>0.29495399999999999</v>
      </c>
      <c r="D77">
        <v>0.36973230000000001</v>
      </c>
      <c r="E77" s="1">
        <v>2.4836519999999999E-82</v>
      </c>
      <c r="F77" t="str">
        <f t="shared" si="12"/>
        <v>0.33(0.29-0.37)</v>
      </c>
      <c r="G77" t="str">
        <f t="shared" si="13"/>
        <v>&lt;0.001</v>
      </c>
      <c r="H77" t="s">
        <v>25</v>
      </c>
      <c r="I77">
        <v>0.2972766</v>
      </c>
      <c r="J77">
        <v>0.26218839999999999</v>
      </c>
      <c r="K77">
        <v>0.33706069999999999</v>
      </c>
      <c r="L77" s="1">
        <v>6.4440070000000004E-80</v>
      </c>
      <c r="M77" t="str">
        <f t="shared" si="14"/>
        <v>0.3(0.26-0.34)</v>
      </c>
      <c r="N77" t="str">
        <f t="shared" si="15"/>
        <v>&lt;0.001</v>
      </c>
      <c r="O77" t="s">
        <v>25</v>
      </c>
      <c r="P77">
        <v>0.55547610000000003</v>
      </c>
      <c r="Q77">
        <v>0.42078650000000001</v>
      </c>
      <c r="R77">
        <v>0.73327830000000005</v>
      </c>
      <c r="S77" s="1">
        <v>3.3317230000000002E-5</v>
      </c>
      <c r="T77" t="str">
        <f t="shared" si="16"/>
        <v>0.56(0.42-0.73)</v>
      </c>
      <c r="U77" t="str">
        <f t="shared" si="17"/>
        <v>&lt;0.001</v>
      </c>
    </row>
    <row r="78" spans="1:21" x14ac:dyDescent="0.3">
      <c r="A78" t="s">
        <v>26</v>
      </c>
      <c r="B78">
        <v>0.89930469999999996</v>
      </c>
      <c r="C78">
        <v>0.80468189999999995</v>
      </c>
      <c r="D78">
        <v>1.0050542</v>
      </c>
      <c r="E78" s="1">
        <v>6.133334E-2</v>
      </c>
      <c r="F78" t="str">
        <f t="shared" si="12"/>
        <v>0.9(0.8-1.01)</v>
      </c>
      <c r="G78">
        <f t="shared" si="13"/>
        <v>6.0999999999999999E-2</v>
      </c>
      <c r="H78" t="s">
        <v>26</v>
      </c>
      <c r="I78">
        <v>0.88437969999999999</v>
      </c>
      <c r="J78">
        <v>0.78515089999999998</v>
      </c>
      <c r="K78">
        <v>0.99614930000000002</v>
      </c>
      <c r="L78" s="1">
        <v>4.3021249999999997E-2</v>
      </c>
      <c r="M78" t="str">
        <f t="shared" si="14"/>
        <v>0.88(0.79-1)</v>
      </c>
      <c r="N78">
        <f t="shared" si="15"/>
        <v>4.2999999999999997E-2</v>
      </c>
      <c r="O78" t="s">
        <v>26</v>
      </c>
      <c r="P78">
        <v>1.0294033</v>
      </c>
      <c r="Q78">
        <v>0.75004199999999999</v>
      </c>
      <c r="R78">
        <v>1.4128156000000001</v>
      </c>
      <c r="S78" s="1">
        <v>0.85762510000000003</v>
      </c>
      <c r="T78" t="str">
        <f t="shared" si="16"/>
        <v>1.03(0.75-1.41)</v>
      </c>
      <c r="U78">
        <f t="shared" si="17"/>
        <v>0.85799999999999998</v>
      </c>
    </row>
    <row r="79" spans="1:21" x14ac:dyDescent="0.3">
      <c r="A79" t="s">
        <v>27</v>
      </c>
      <c r="B79">
        <v>1.2430102999999999</v>
      </c>
      <c r="C79">
        <v>1.1178227000000001</v>
      </c>
      <c r="D79">
        <v>1.3822179000000001</v>
      </c>
      <c r="E79" s="1">
        <v>5.9073339999999998E-5</v>
      </c>
      <c r="F79" t="str">
        <f t="shared" si="12"/>
        <v>1.24(1.12-1.38)</v>
      </c>
      <c r="G79" t="str">
        <f t="shared" si="13"/>
        <v>&lt;0.001</v>
      </c>
      <c r="H79" t="s">
        <v>27</v>
      </c>
      <c r="I79">
        <v>1.3734014000000001</v>
      </c>
      <c r="J79">
        <v>1.2231841999999999</v>
      </c>
      <c r="K79">
        <v>1.5420665</v>
      </c>
      <c r="L79" s="1">
        <v>7.9286380000000001E-8</v>
      </c>
      <c r="M79" t="str">
        <f t="shared" si="14"/>
        <v>1.37(1.22-1.54)</v>
      </c>
      <c r="N79" t="str">
        <f t="shared" si="15"/>
        <v>&lt;0.001</v>
      </c>
      <c r="O79" t="s">
        <v>27</v>
      </c>
      <c r="P79">
        <v>0.65916989999999998</v>
      </c>
      <c r="Q79">
        <v>0.48942530000000001</v>
      </c>
      <c r="R79">
        <v>0.88778599999999996</v>
      </c>
      <c r="S79" s="1">
        <v>6.079648E-3</v>
      </c>
      <c r="T79" t="str">
        <f t="shared" si="16"/>
        <v>0.66(0.49-0.89)</v>
      </c>
      <c r="U79">
        <f t="shared" si="17"/>
        <v>6.0000000000000001E-3</v>
      </c>
    </row>
    <row r="83" spans="1:24" x14ac:dyDescent="0.3">
      <c r="A83" t="s">
        <v>38</v>
      </c>
      <c r="B83" t="s">
        <v>39</v>
      </c>
      <c r="I83" t="s">
        <v>54</v>
      </c>
      <c r="J83" t="s">
        <v>39</v>
      </c>
      <c r="R83" t="s">
        <v>56</v>
      </c>
      <c r="S83" t="s">
        <v>39</v>
      </c>
    </row>
    <row r="85" spans="1:24" x14ac:dyDescent="0.3">
      <c r="B85" t="s">
        <v>47</v>
      </c>
      <c r="C85" t="s">
        <v>51</v>
      </c>
      <c r="D85" t="s">
        <v>49</v>
      </c>
      <c r="E85" t="s">
        <v>48</v>
      </c>
      <c r="F85" t="s">
        <v>440</v>
      </c>
      <c r="G85" t="s">
        <v>53</v>
      </c>
      <c r="J85" t="s">
        <v>47</v>
      </c>
      <c r="K85" t="s">
        <v>51</v>
      </c>
      <c r="L85" t="s">
        <v>49</v>
      </c>
      <c r="M85" t="s">
        <v>48</v>
      </c>
      <c r="N85" t="s">
        <v>440</v>
      </c>
      <c r="O85" t="s">
        <v>55</v>
      </c>
      <c r="S85" t="s">
        <v>47</v>
      </c>
      <c r="T85" t="s">
        <v>51</v>
      </c>
      <c r="U85" t="s">
        <v>49</v>
      </c>
      <c r="V85" t="s">
        <v>48</v>
      </c>
      <c r="W85" t="s">
        <v>440</v>
      </c>
      <c r="X85" t="s">
        <v>55</v>
      </c>
    </row>
    <row r="86" spans="1:24" x14ac:dyDescent="0.3">
      <c r="A86" t="s">
        <v>40</v>
      </c>
      <c r="B86">
        <v>0.68210079999999995</v>
      </c>
      <c r="C86">
        <v>9.5989500000000005E-2</v>
      </c>
      <c r="D86">
        <v>4.8470040000000001</v>
      </c>
      <c r="E86" s="1">
        <v>0.70217379999999996</v>
      </c>
      <c r="F86" t="str">
        <f>ROUND($B86,2)&amp;"("&amp;ROUND($C86,2)&amp;"-"&amp;ROUND($D86,2)&amp;")"</f>
        <v>0.68(0.1-4.85)</v>
      </c>
      <c r="G86">
        <f>IF($E86&lt;0.001,"&lt;0.001",ROUND($E86,3))</f>
        <v>0.70199999999999996</v>
      </c>
      <c r="I86" t="s">
        <v>40</v>
      </c>
      <c r="J86">
        <v>0.79706069999999996</v>
      </c>
      <c r="K86">
        <v>0.1121505</v>
      </c>
      <c r="L86">
        <v>5.6647629999999998</v>
      </c>
      <c r="M86" s="1">
        <v>0.82066150000000004</v>
      </c>
      <c r="N86" t="str">
        <f>ROUND($J86,2)&amp;"("&amp;ROUND($K86,2)&amp;"-"&amp;ROUND($L86,2)&amp;")"</f>
        <v>0.8(0.11-5.66)</v>
      </c>
      <c r="O86">
        <f>IF($M86&lt;0.001,"&lt;0.001",ROUND($M86,3))</f>
        <v>0.82099999999999995</v>
      </c>
      <c r="R86" t="s">
        <v>40</v>
      </c>
      <c r="S86" s="1">
        <v>2.6029149999999999E-6</v>
      </c>
      <c r="T86">
        <v>0</v>
      </c>
      <c r="U86" t="s">
        <v>57</v>
      </c>
      <c r="V86" s="1">
        <v>0.99241970000000002</v>
      </c>
      <c r="W86" t="e">
        <f>ROUND($S86,2)&amp;"("&amp;ROUND($T86,2)&amp;"-"&amp;ROUND($U86,2)&amp;")"</f>
        <v>#VALUE!</v>
      </c>
      <c r="X86">
        <f>IF($V86&lt;0.001,"&lt;0.001",ROUND($V86,3))</f>
        <v>0.99199999999999999</v>
      </c>
    </row>
    <row r="87" spans="1:24" x14ac:dyDescent="0.3">
      <c r="A87" t="s">
        <v>41</v>
      </c>
      <c r="B87">
        <v>1.5152105</v>
      </c>
      <c r="C87">
        <v>1.3741544000000001</v>
      </c>
      <c r="D87">
        <v>1.6707460000000001</v>
      </c>
      <c r="E87" s="1">
        <v>7.7431040000000005E-17</v>
      </c>
      <c r="F87" t="str">
        <f t="shared" ref="F87:F92" si="18">ROUND($B87,2)&amp;"("&amp;ROUND($C87,2)&amp;"-"&amp;ROUND($D87,2)&amp;")"</f>
        <v>1.52(1.37-1.67)</v>
      </c>
      <c r="G87" t="str">
        <f t="shared" ref="G87:G92" si="19">IF($E87&lt;0.001,"&lt;0.001",ROUND($E87,3))</f>
        <v>&lt;0.001</v>
      </c>
      <c r="I87" t="s">
        <v>41</v>
      </c>
      <c r="J87">
        <v>1.4671312999999999</v>
      </c>
      <c r="K87">
        <v>1.3193545</v>
      </c>
      <c r="L87">
        <v>1.6314599999999999</v>
      </c>
      <c r="M87" s="1">
        <v>1.479858E-12</v>
      </c>
      <c r="N87" t="str">
        <f t="shared" ref="N87:N92" si="20">ROUND($J87,2)&amp;"("&amp;ROUND($K87,2)&amp;"-"&amp;ROUND($L87,2)&amp;")"</f>
        <v>1.47(1.32-1.63)</v>
      </c>
      <c r="O87" t="str">
        <f t="shared" ref="O87:O92" si="21">IF($M87&lt;0.001,"&lt;0.001",ROUND($M87,3))</f>
        <v>&lt;0.001</v>
      </c>
      <c r="R87" t="s">
        <v>41</v>
      </c>
      <c r="S87" s="1">
        <v>1.819793</v>
      </c>
      <c r="T87">
        <v>1.4157763999999999</v>
      </c>
      <c r="U87">
        <v>2.3391039999999998</v>
      </c>
      <c r="V87" s="1">
        <v>2.9486340000000001E-6</v>
      </c>
      <c r="W87" t="str">
        <f t="shared" ref="W87:W92" si="22">ROUND($S87,2)&amp;"("&amp;ROUND($T87,2)&amp;"-"&amp;ROUND($U87,2)&amp;")"</f>
        <v>1.82(1.42-2.34)</v>
      </c>
      <c r="X87" t="str">
        <f t="shared" ref="X87:X92" si="23">IF($V87&lt;0.001,"&lt;0.001",ROUND($V87,3))</f>
        <v>&lt;0.001</v>
      </c>
    </row>
    <row r="88" spans="1:24" x14ac:dyDescent="0.3">
      <c r="A88" t="s">
        <v>42</v>
      </c>
      <c r="B88">
        <v>2.1717050000000002</v>
      </c>
      <c r="C88">
        <v>0.54237849999999999</v>
      </c>
      <c r="D88">
        <v>8.6955919999999995</v>
      </c>
      <c r="E88" s="1">
        <v>0.27323910000000001</v>
      </c>
      <c r="F88" t="str">
        <f t="shared" si="18"/>
        <v>2.17(0.54-8.7)</v>
      </c>
      <c r="G88">
        <f t="shared" si="19"/>
        <v>0.27300000000000002</v>
      </c>
      <c r="I88" t="s">
        <v>42</v>
      </c>
      <c r="J88">
        <v>2.4979491</v>
      </c>
      <c r="K88">
        <v>0.62372059999999996</v>
      </c>
      <c r="L88">
        <v>10.004079000000001</v>
      </c>
      <c r="M88" s="1">
        <v>0.19595589999999999</v>
      </c>
      <c r="N88" t="str">
        <f t="shared" si="20"/>
        <v>2.5(0.62-10)</v>
      </c>
      <c r="O88">
        <f t="shared" si="21"/>
        <v>0.19600000000000001</v>
      </c>
      <c r="R88" t="s">
        <v>42</v>
      </c>
      <c r="S88" s="1">
        <v>2.6071719999999999E-6</v>
      </c>
      <c r="T88">
        <v>0</v>
      </c>
      <c r="U88" t="s">
        <v>57</v>
      </c>
      <c r="V88" s="1">
        <v>0.9942358</v>
      </c>
      <c r="W88" t="e">
        <f t="shared" si="22"/>
        <v>#VALUE!</v>
      </c>
      <c r="X88">
        <f t="shared" si="23"/>
        <v>0.99399999999999999</v>
      </c>
    </row>
    <row r="89" spans="1:24" x14ac:dyDescent="0.3">
      <c r="A89" t="s">
        <v>43</v>
      </c>
      <c r="B89">
        <v>1.6689735000000001</v>
      </c>
      <c r="C89">
        <v>1.4674919</v>
      </c>
      <c r="D89">
        <v>1.898118</v>
      </c>
      <c r="E89" s="1">
        <v>6.0365029999999996E-15</v>
      </c>
      <c r="F89" t="str">
        <f t="shared" si="18"/>
        <v>1.67(1.47-1.9)</v>
      </c>
      <c r="G89" t="str">
        <f t="shared" si="19"/>
        <v>&lt;0.001</v>
      </c>
      <c r="I89" t="s">
        <v>43</v>
      </c>
      <c r="J89">
        <v>1.6216835000000001</v>
      </c>
      <c r="K89">
        <v>1.4099105999999999</v>
      </c>
      <c r="L89">
        <v>1.865265</v>
      </c>
      <c r="M89" s="1">
        <v>1.275814E-11</v>
      </c>
      <c r="N89" t="str">
        <f t="shared" si="20"/>
        <v>1.62(1.41-1.87)</v>
      </c>
      <c r="O89" t="str">
        <f t="shared" si="21"/>
        <v>&lt;0.001</v>
      </c>
      <c r="R89" t="s">
        <v>43</v>
      </c>
      <c r="S89" s="1">
        <v>1.96848</v>
      </c>
      <c r="T89">
        <v>1.4182144000000001</v>
      </c>
      <c r="U89">
        <v>2.7322470000000001</v>
      </c>
      <c r="V89" s="1">
        <v>5.1509850000000003E-5</v>
      </c>
      <c r="W89" t="str">
        <f t="shared" si="22"/>
        <v>1.97(1.42-2.73)</v>
      </c>
      <c r="X89" t="str">
        <f t="shared" si="23"/>
        <v>&lt;0.001</v>
      </c>
    </row>
    <row r="90" spans="1:24" x14ac:dyDescent="0.3">
      <c r="A90" t="s">
        <v>44</v>
      </c>
      <c r="B90">
        <v>2.0889142999999999</v>
      </c>
      <c r="C90">
        <v>0.86758610000000003</v>
      </c>
      <c r="D90">
        <v>5.0295449999999997</v>
      </c>
      <c r="E90" s="1">
        <v>0.1003554</v>
      </c>
      <c r="F90" t="str">
        <f t="shared" si="18"/>
        <v>2.09(0.87-5.03)</v>
      </c>
      <c r="G90">
        <f t="shared" si="19"/>
        <v>0.1</v>
      </c>
      <c r="I90" t="s">
        <v>44</v>
      </c>
      <c r="J90">
        <v>1.9365028</v>
      </c>
      <c r="K90">
        <v>0.72517790000000004</v>
      </c>
      <c r="L90">
        <v>5.1712040000000004</v>
      </c>
      <c r="M90" s="1">
        <v>0.18725169999999999</v>
      </c>
      <c r="N90" t="str">
        <f t="shared" si="20"/>
        <v>1.94(0.73-5.17)</v>
      </c>
      <c r="O90">
        <f t="shared" si="21"/>
        <v>0.187</v>
      </c>
      <c r="R90" t="s">
        <v>44</v>
      </c>
      <c r="S90" s="1">
        <v>3.0503339999999999</v>
      </c>
      <c r="T90">
        <v>0.42664869999999999</v>
      </c>
      <c r="U90">
        <v>21.808433999999998</v>
      </c>
      <c r="V90" s="1">
        <v>0.2664667</v>
      </c>
      <c r="W90" t="str">
        <f t="shared" si="22"/>
        <v>3.05(0.43-21.81)</v>
      </c>
      <c r="X90">
        <f t="shared" si="23"/>
        <v>0.26600000000000001</v>
      </c>
    </row>
    <row r="91" spans="1:24" x14ac:dyDescent="0.3">
      <c r="A91" t="s">
        <v>45</v>
      </c>
      <c r="B91">
        <v>2.1888236000000001</v>
      </c>
      <c r="C91">
        <v>1.8423129</v>
      </c>
      <c r="D91">
        <v>2.600508</v>
      </c>
      <c r="E91" s="1">
        <v>5.1583609999999996E-19</v>
      </c>
      <c r="F91" t="str">
        <f>ROUND($B91,2)&amp;"("&amp;ROUND($C91,2)&amp;"-"&amp;ROUND($D91,2)&amp;")"</f>
        <v>2.19(1.84-2.6)</v>
      </c>
      <c r="G91" t="str">
        <f t="shared" si="19"/>
        <v>&lt;0.001</v>
      </c>
      <c r="I91" t="s">
        <v>45</v>
      </c>
      <c r="J91">
        <v>1.8674907999999999</v>
      </c>
      <c r="K91">
        <v>1.5305797999999999</v>
      </c>
      <c r="L91">
        <v>2.2785630000000001</v>
      </c>
      <c r="M91" s="1">
        <v>7.5907489999999996E-10</v>
      </c>
      <c r="N91" t="str">
        <f t="shared" si="20"/>
        <v>1.87(1.53-2.28)</v>
      </c>
      <c r="O91" t="str">
        <f t="shared" si="21"/>
        <v>&lt;0.001</v>
      </c>
      <c r="R91" t="s">
        <v>45</v>
      </c>
      <c r="S91" s="1">
        <v>4.2176640000000001</v>
      </c>
      <c r="T91">
        <v>2.9576139000000001</v>
      </c>
      <c r="U91">
        <v>6.0145410000000004</v>
      </c>
      <c r="V91" s="1">
        <v>1.8866210000000001E-15</v>
      </c>
      <c r="W91" t="str">
        <f t="shared" si="22"/>
        <v>4.22(2.96-6.01)</v>
      </c>
      <c r="X91" t="str">
        <f t="shared" si="23"/>
        <v>&lt;0.001</v>
      </c>
    </row>
    <row r="92" spans="1:24" x14ac:dyDescent="0.3">
      <c r="A92" t="s">
        <v>46</v>
      </c>
      <c r="B92">
        <v>1.1858994</v>
      </c>
      <c r="C92">
        <v>0.38183729999999999</v>
      </c>
      <c r="D92">
        <v>3.6831330000000002</v>
      </c>
      <c r="E92" s="1">
        <v>0.76808529999999997</v>
      </c>
      <c r="F92" t="str">
        <f t="shared" si="18"/>
        <v>1.19(0.38-3.68)</v>
      </c>
      <c r="G92">
        <f t="shared" si="19"/>
        <v>0.76800000000000002</v>
      </c>
      <c r="I92" t="s">
        <v>46</v>
      </c>
      <c r="J92">
        <v>1.3756466999999999</v>
      </c>
      <c r="K92">
        <v>0.44281579999999998</v>
      </c>
      <c r="L92">
        <v>4.2735690000000002</v>
      </c>
      <c r="M92" s="1">
        <v>0.58132709999999999</v>
      </c>
      <c r="N92" t="str">
        <f t="shared" si="20"/>
        <v>1.38(0.44-4.27)</v>
      </c>
      <c r="O92">
        <f t="shared" si="21"/>
        <v>0.58099999999999996</v>
      </c>
      <c r="R92" t="s">
        <v>46</v>
      </c>
      <c r="S92" s="1">
        <v>2.607493E-6</v>
      </c>
      <c r="T92">
        <v>0</v>
      </c>
      <c r="U92" t="s">
        <v>57</v>
      </c>
      <c r="V92" s="1">
        <v>0.99022310000000002</v>
      </c>
      <c r="W92" t="e">
        <f t="shared" si="22"/>
        <v>#VALUE!</v>
      </c>
      <c r="X92">
        <f t="shared" si="23"/>
        <v>0.99</v>
      </c>
    </row>
    <row r="96" spans="1:24" x14ac:dyDescent="0.3">
      <c r="A96" t="s">
        <v>38</v>
      </c>
      <c r="B96" t="s">
        <v>58</v>
      </c>
      <c r="I96" t="s">
        <v>75</v>
      </c>
      <c r="J96" t="s">
        <v>58</v>
      </c>
      <c r="R96" t="s">
        <v>86</v>
      </c>
      <c r="S96" t="s">
        <v>58</v>
      </c>
    </row>
    <row r="98" spans="1:24" x14ac:dyDescent="0.3">
      <c r="B98" t="s">
        <v>47</v>
      </c>
      <c r="C98" t="s">
        <v>51</v>
      </c>
      <c r="D98" t="s">
        <v>49</v>
      </c>
      <c r="E98" t="s">
        <v>48</v>
      </c>
      <c r="F98" t="s">
        <v>440</v>
      </c>
      <c r="G98" t="s">
        <v>53</v>
      </c>
      <c r="J98" t="s">
        <v>47</v>
      </c>
      <c r="K98" t="s">
        <v>52</v>
      </c>
      <c r="L98" t="s">
        <v>50</v>
      </c>
      <c r="M98" t="s">
        <v>48</v>
      </c>
      <c r="N98" t="s">
        <v>440</v>
      </c>
      <c r="O98" t="s">
        <v>53</v>
      </c>
      <c r="S98" t="s">
        <v>47</v>
      </c>
      <c r="T98" t="s">
        <v>52</v>
      </c>
      <c r="U98" t="s">
        <v>50</v>
      </c>
      <c r="V98" t="s">
        <v>48</v>
      </c>
      <c r="W98" t="s">
        <v>440</v>
      </c>
      <c r="X98" t="s">
        <v>53</v>
      </c>
    </row>
    <row r="99" spans="1:24" x14ac:dyDescent="0.3">
      <c r="A99" t="s">
        <v>40</v>
      </c>
      <c r="B99">
        <v>0.58282840000000002</v>
      </c>
      <c r="C99">
        <v>8.1876749999999998E-2</v>
      </c>
      <c r="D99">
        <v>4.1487835999999998</v>
      </c>
      <c r="E99" s="1">
        <v>0.58980679999999996</v>
      </c>
      <c r="F99" t="str">
        <f>ROUND($B99,2)&amp;"("&amp;ROUND($C99,2)&amp;"-"&amp;ROUND($D99,2)&amp;")"</f>
        <v>0.58(0.08-4.15)</v>
      </c>
      <c r="G99">
        <f>IF($E99&lt;0.001,"&lt;0.001",ROUND($E99,3))</f>
        <v>0.59</v>
      </c>
      <c r="I99" t="s">
        <v>76</v>
      </c>
      <c r="J99">
        <v>0.72988679999999995</v>
      </c>
      <c r="K99">
        <v>0.1024847</v>
      </c>
      <c r="L99">
        <v>5.1981894999999998</v>
      </c>
      <c r="M99" s="1">
        <v>0.7532548</v>
      </c>
      <c r="N99" t="str">
        <f>ROUND($J99,2)&amp;"("&amp;ROUND($K99,2)&amp;"-"&amp;ROUND($L99,2)&amp;")"</f>
        <v>0.73(0.1-5.2)</v>
      </c>
      <c r="O99">
        <f>IF($M99&lt;0.001,"&lt;0.001",ROUND($M99,3))</f>
        <v>0.753</v>
      </c>
      <c r="R99" t="s">
        <v>40</v>
      </c>
      <c r="S99" s="1">
        <v>8.7363900000000001E-7</v>
      </c>
      <c r="T99">
        <v>0</v>
      </c>
      <c r="U99" t="s">
        <v>57</v>
      </c>
      <c r="V99" s="1">
        <v>0.99439370000000005</v>
      </c>
      <c r="W99" t="e">
        <f>ROUND($S99,2)&amp;"("&amp;ROUND($T99,2)&amp;"-"&amp;ROUND($U99,2)&amp;")"</f>
        <v>#VALUE!</v>
      </c>
      <c r="X99">
        <f>IF($V99&lt;0.001,"&lt;0.001",ROUND($V99,3))</f>
        <v>0.99399999999999999</v>
      </c>
    </row>
    <row r="100" spans="1:24" x14ac:dyDescent="0.3">
      <c r="A100" t="s">
        <v>41</v>
      </c>
      <c r="B100">
        <v>0.91809629999999998</v>
      </c>
      <c r="C100">
        <v>0.80457058999999997</v>
      </c>
      <c r="D100">
        <v>1.0476407000000001</v>
      </c>
      <c r="E100" s="1">
        <v>0.2044821</v>
      </c>
      <c r="F100" t="str">
        <f t="shared" ref="F100:F124" si="24">ROUND($B100,2)&amp;"("&amp;ROUND($C100,2)&amp;"-"&amp;ROUND($D100,2)&amp;")"</f>
        <v>0.92(0.8-1.05)</v>
      </c>
      <c r="G100">
        <f t="shared" ref="G100:G124" si="25">IF($E100&lt;0.001,"&lt;0.001",ROUND($E100,3))</f>
        <v>0.20399999999999999</v>
      </c>
      <c r="I100" t="s">
        <v>41</v>
      </c>
      <c r="J100">
        <v>0.89504830000000002</v>
      </c>
      <c r="K100">
        <v>0.77507329999999997</v>
      </c>
      <c r="L100">
        <v>1.0335943000000001</v>
      </c>
      <c r="M100" s="1">
        <v>0.13104869999999999</v>
      </c>
      <c r="N100" t="str">
        <f t="shared" ref="N100:N124" si="26">ROUND($J100,2)&amp;"("&amp;ROUND($K100,2)&amp;"-"&amp;ROUND($L100,2)&amp;")"</f>
        <v>0.9(0.78-1.03)</v>
      </c>
      <c r="O100">
        <f t="shared" ref="O100:O124" si="27">IF($M100&lt;0.001,"&lt;0.001",ROUND($M100,3))</f>
        <v>0.13100000000000001</v>
      </c>
      <c r="R100" t="s">
        <v>41</v>
      </c>
      <c r="S100" s="1">
        <v>1.06332</v>
      </c>
      <c r="T100">
        <v>0.76152200000000003</v>
      </c>
      <c r="U100">
        <v>1.4847231000000001</v>
      </c>
      <c r="V100" s="1">
        <v>0.71850130000000001</v>
      </c>
      <c r="W100" t="str">
        <f t="shared" ref="W100:W124" si="28">ROUND($S100,2)&amp;"("&amp;ROUND($T100,2)&amp;"-"&amp;ROUND($U100,2)&amp;")"</f>
        <v>1.06(0.76-1.48)</v>
      </c>
      <c r="X100">
        <f t="shared" ref="X100:X124" si="29">IF($V100&lt;0.001,"&lt;0.001",ROUND($V100,3))</f>
        <v>0.71899999999999997</v>
      </c>
    </row>
    <row r="101" spans="1:24" x14ac:dyDescent="0.3">
      <c r="A101" t="s">
        <v>42</v>
      </c>
      <c r="B101">
        <v>0.87291200000000002</v>
      </c>
      <c r="C101">
        <v>0.21645078000000001</v>
      </c>
      <c r="D101">
        <v>3.5203169999999999</v>
      </c>
      <c r="E101" s="1">
        <v>0.84849450000000004</v>
      </c>
      <c r="F101" t="str">
        <f t="shared" si="24"/>
        <v>0.87(0.22-3.52)</v>
      </c>
      <c r="G101">
        <f t="shared" si="25"/>
        <v>0.84799999999999998</v>
      </c>
      <c r="I101" t="s">
        <v>42</v>
      </c>
      <c r="J101">
        <v>0.93094889999999997</v>
      </c>
      <c r="K101">
        <v>0.2304562</v>
      </c>
      <c r="L101">
        <v>3.7606535000000001</v>
      </c>
      <c r="M101" s="1">
        <v>0.91999019999999998</v>
      </c>
      <c r="N101" t="str">
        <f t="shared" si="26"/>
        <v>0.93(0.23-3.76)</v>
      </c>
      <c r="O101">
        <f t="shared" si="27"/>
        <v>0.92</v>
      </c>
      <c r="R101" t="s">
        <v>42</v>
      </c>
      <c r="S101" s="1">
        <v>6.4827260000000003E-7</v>
      </c>
      <c r="T101">
        <v>0</v>
      </c>
      <c r="U101" t="s">
        <v>57</v>
      </c>
      <c r="V101" s="1">
        <v>0.9962567</v>
      </c>
      <c r="W101" t="e">
        <f t="shared" si="28"/>
        <v>#VALUE!</v>
      </c>
      <c r="X101">
        <f t="shared" si="29"/>
        <v>0.996</v>
      </c>
    </row>
    <row r="102" spans="1:24" x14ac:dyDescent="0.3">
      <c r="A102" t="s">
        <v>43</v>
      </c>
      <c r="B102">
        <v>1.0785370999999999</v>
      </c>
      <c r="C102">
        <v>0.90977441000000003</v>
      </c>
      <c r="D102">
        <v>1.2786052000000001</v>
      </c>
      <c r="E102" s="1">
        <v>0.38384649999999998</v>
      </c>
      <c r="F102" t="str">
        <f t="shared" si="24"/>
        <v>1.08(0.91-1.28)</v>
      </c>
      <c r="G102">
        <f t="shared" si="25"/>
        <v>0.38400000000000001</v>
      </c>
      <c r="I102" t="s">
        <v>43</v>
      </c>
      <c r="J102">
        <v>1.0404944</v>
      </c>
      <c r="K102">
        <v>0.86379510000000004</v>
      </c>
      <c r="L102">
        <v>1.2533395000000001</v>
      </c>
      <c r="M102" s="1">
        <v>0.67592240000000003</v>
      </c>
      <c r="N102" t="str">
        <f t="shared" si="26"/>
        <v>1.04(0.86-1.25)</v>
      </c>
      <c r="O102">
        <f t="shared" si="27"/>
        <v>0.67600000000000005</v>
      </c>
      <c r="R102" t="s">
        <v>43</v>
      </c>
      <c r="S102" s="1">
        <v>1.3425640000000001</v>
      </c>
      <c r="T102">
        <v>0.87986509999999996</v>
      </c>
      <c r="U102">
        <v>2.0485845</v>
      </c>
      <c r="V102" s="1">
        <v>0.1718344</v>
      </c>
      <c r="W102" t="str">
        <f t="shared" si="28"/>
        <v>1.34(0.88-2.05)</v>
      </c>
      <c r="X102">
        <f t="shared" si="29"/>
        <v>0.17199999999999999</v>
      </c>
    </row>
    <row r="103" spans="1:24" x14ac:dyDescent="0.3">
      <c r="A103" t="s">
        <v>44</v>
      </c>
      <c r="B103">
        <v>2.4505728000000002</v>
      </c>
      <c r="C103">
        <v>1.0111281999999999</v>
      </c>
      <c r="D103">
        <v>5.9392142999999997</v>
      </c>
      <c r="E103" s="1">
        <v>4.7203929999999998E-2</v>
      </c>
      <c r="F103" t="str">
        <f t="shared" si="24"/>
        <v>2.45(1.01-5.94)</v>
      </c>
      <c r="G103">
        <f t="shared" si="25"/>
        <v>4.7E-2</v>
      </c>
      <c r="I103" t="s">
        <v>44</v>
      </c>
      <c r="J103">
        <v>2.2332846000000002</v>
      </c>
      <c r="K103">
        <v>0.83055060000000003</v>
      </c>
      <c r="L103">
        <v>6.0051250999999999</v>
      </c>
      <c r="M103" s="1">
        <v>0.1113692</v>
      </c>
      <c r="N103" t="str">
        <f t="shared" si="26"/>
        <v>2.23(0.83-6.01)</v>
      </c>
      <c r="O103">
        <f t="shared" si="27"/>
        <v>0.111</v>
      </c>
      <c r="R103" t="s">
        <v>44</v>
      </c>
      <c r="S103" s="1">
        <v>3.9298299999999999</v>
      </c>
      <c r="T103">
        <v>0.53839669999999995</v>
      </c>
      <c r="U103">
        <v>28.684362700000001</v>
      </c>
      <c r="V103" s="1">
        <v>0.17718890000000001</v>
      </c>
      <c r="W103" t="str">
        <f t="shared" si="28"/>
        <v>3.93(0.54-28.68)</v>
      </c>
      <c r="X103">
        <f t="shared" si="29"/>
        <v>0.17699999999999999</v>
      </c>
    </row>
    <row r="104" spans="1:24" x14ac:dyDescent="0.3">
      <c r="A104" t="s">
        <v>45</v>
      </c>
      <c r="B104">
        <v>1.1613342</v>
      </c>
      <c r="C104">
        <v>0.95797734000000001</v>
      </c>
      <c r="D104">
        <v>1.4078592000000001</v>
      </c>
      <c r="E104" s="1">
        <v>0.12779460000000001</v>
      </c>
      <c r="F104" t="str">
        <f t="shared" si="24"/>
        <v>1.16(0.96-1.41)</v>
      </c>
      <c r="G104">
        <f t="shared" si="25"/>
        <v>0.128</v>
      </c>
      <c r="I104" t="s">
        <v>45</v>
      </c>
      <c r="J104">
        <v>0.99794450000000001</v>
      </c>
      <c r="K104">
        <v>0.8007457</v>
      </c>
      <c r="L104">
        <v>1.2437073000000001</v>
      </c>
      <c r="M104" s="1">
        <v>0.98538530000000002</v>
      </c>
      <c r="N104" t="str">
        <f t="shared" si="26"/>
        <v>1(0.8-1.24)</v>
      </c>
      <c r="O104">
        <f t="shared" si="27"/>
        <v>0.98499999999999999</v>
      </c>
      <c r="R104" t="s">
        <v>45</v>
      </c>
      <c r="S104" s="1">
        <v>2.2577029999999998</v>
      </c>
      <c r="T104">
        <v>1.4959724999999999</v>
      </c>
      <c r="U104">
        <v>3.4072966999999998</v>
      </c>
      <c r="V104" s="1">
        <v>1.052991E-4</v>
      </c>
      <c r="W104" t="str">
        <f t="shared" si="28"/>
        <v>2.26(1.5-3.41)</v>
      </c>
      <c r="X104" t="str">
        <f t="shared" si="29"/>
        <v>&lt;0.001</v>
      </c>
    </row>
    <row r="105" spans="1:24" x14ac:dyDescent="0.3">
      <c r="A105" t="s">
        <v>46</v>
      </c>
      <c r="B105">
        <v>0.92636640000000003</v>
      </c>
      <c r="C105">
        <v>0.29618554000000002</v>
      </c>
      <c r="D105">
        <v>2.8973551999999998</v>
      </c>
      <c r="E105" s="1">
        <v>0.89540660000000005</v>
      </c>
      <c r="F105" t="str">
        <f t="shared" si="24"/>
        <v>0.93(0.3-2.9)</v>
      </c>
      <c r="G105">
        <f t="shared" si="25"/>
        <v>0.89500000000000002</v>
      </c>
      <c r="I105" t="s">
        <v>46</v>
      </c>
      <c r="J105">
        <v>1.0432440000000001</v>
      </c>
      <c r="K105">
        <v>0.33301530000000001</v>
      </c>
      <c r="L105">
        <v>3.268192</v>
      </c>
      <c r="M105" s="1">
        <v>0.94207339999999995</v>
      </c>
      <c r="N105" t="str">
        <f t="shared" si="26"/>
        <v>1.04(0.33-3.27)</v>
      </c>
      <c r="O105">
        <f t="shared" si="27"/>
        <v>0.94199999999999995</v>
      </c>
      <c r="R105" t="s">
        <v>46</v>
      </c>
      <c r="S105" s="1">
        <v>9.6190749999999995E-7</v>
      </c>
      <c r="T105">
        <v>0</v>
      </c>
      <c r="U105" t="s">
        <v>57</v>
      </c>
      <c r="V105" s="1">
        <v>0.99341829999999998</v>
      </c>
      <c r="W105" t="e">
        <f t="shared" si="28"/>
        <v>#VALUE!</v>
      </c>
      <c r="X105">
        <f t="shared" si="29"/>
        <v>0.99299999999999999</v>
      </c>
    </row>
    <row r="106" spans="1:24" x14ac:dyDescent="0.3">
      <c r="A106" t="s">
        <v>59</v>
      </c>
      <c r="B106">
        <v>1.0510409000000001</v>
      </c>
      <c r="C106">
        <v>1.0455635400000001</v>
      </c>
      <c r="D106">
        <v>1.0565469000000001</v>
      </c>
      <c r="E106" s="1">
        <v>8.1297760000000004E-78</v>
      </c>
      <c r="F106" t="str">
        <f t="shared" si="24"/>
        <v>1.05(1.05-1.06)</v>
      </c>
      <c r="G106" t="str">
        <f t="shared" si="25"/>
        <v>&lt;0.001</v>
      </c>
      <c r="I106" t="s">
        <v>59</v>
      </c>
      <c r="J106">
        <v>1.0476586999999999</v>
      </c>
      <c r="K106">
        <v>1.0417742999999999</v>
      </c>
      <c r="L106">
        <v>1.0535763</v>
      </c>
      <c r="M106" s="1">
        <v>4.9655170000000001E-59</v>
      </c>
      <c r="N106" t="str">
        <f t="shared" si="26"/>
        <v>1.05(1.04-1.05)</v>
      </c>
      <c r="O106" t="str">
        <f t="shared" si="27"/>
        <v>&lt;0.001</v>
      </c>
      <c r="R106" t="s">
        <v>59</v>
      </c>
      <c r="S106" s="1">
        <v>1.0720559999999999</v>
      </c>
      <c r="T106">
        <v>1.0571299000000001</v>
      </c>
      <c r="U106">
        <v>1.0871919000000001</v>
      </c>
      <c r="V106" s="1">
        <v>2.321654E-22</v>
      </c>
      <c r="W106" t="str">
        <f t="shared" si="28"/>
        <v>1.07(1.06-1.09)</v>
      </c>
      <c r="X106" t="str">
        <f t="shared" si="29"/>
        <v>&lt;0.001</v>
      </c>
    </row>
    <row r="107" spans="1:24" x14ac:dyDescent="0.3">
      <c r="A107" t="s">
        <v>60</v>
      </c>
      <c r="B107">
        <v>1.9712384999999999</v>
      </c>
      <c r="C107">
        <v>1.7477872699999999</v>
      </c>
      <c r="D107">
        <v>2.2232574999999999</v>
      </c>
      <c r="E107" s="1">
        <v>2.0523540000000001E-28</v>
      </c>
      <c r="F107" t="str">
        <f t="shared" si="24"/>
        <v>1.97(1.75-2.22)</v>
      </c>
      <c r="G107" t="str">
        <f t="shared" si="25"/>
        <v>&lt;0.001</v>
      </c>
      <c r="I107" t="s">
        <v>60</v>
      </c>
      <c r="J107">
        <v>1.9374552</v>
      </c>
      <c r="K107">
        <v>1.7020263</v>
      </c>
      <c r="L107">
        <v>2.2054491999999999</v>
      </c>
      <c r="M107" s="1">
        <v>1.4415359999999999E-23</v>
      </c>
      <c r="N107" t="str">
        <f t="shared" si="26"/>
        <v>1.94(1.7-2.21)</v>
      </c>
      <c r="O107" t="str">
        <f>IF($M107&lt;0.001,"&lt;0.001",ROUND($M107,3))</f>
        <v>&lt;0.001</v>
      </c>
      <c r="R107" t="s">
        <v>60</v>
      </c>
      <c r="S107" s="1">
        <v>2.189689</v>
      </c>
      <c r="T107">
        <v>1.5829150000000001</v>
      </c>
      <c r="U107">
        <v>3.0290545999999998</v>
      </c>
      <c r="V107" s="1">
        <v>2.201429E-6</v>
      </c>
      <c r="W107" t="str">
        <f t="shared" si="28"/>
        <v>2.19(1.58-3.03)</v>
      </c>
      <c r="X107" t="str">
        <f t="shared" si="29"/>
        <v>&lt;0.001</v>
      </c>
    </row>
    <row r="108" spans="1:24" x14ac:dyDescent="0.3">
      <c r="A108" t="s">
        <v>61</v>
      </c>
      <c r="B108">
        <v>1.0023702000000001</v>
      </c>
      <c r="C108">
        <v>0.99995727000000001</v>
      </c>
      <c r="D108">
        <v>1.0047889999999999</v>
      </c>
      <c r="E108" s="1">
        <v>5.420208E-2</v>
      </c>
      <c r="F108" t="str">
        <f t="shared" si="24"/>
        <v>1(1-1)</v>
      </c>
      <c r="G108">
        <f t="shared" si="25"/>
        <v>5.3999999999999999E-2</v>
      </c>
      <c r="I108" t="s">
        <v>61</v>
      </c>
      <c r="J108">
        <v>1.0022384</v>
      </c>
      <c r="K108">
        <v>0.99954089999999995</v>
      </c>
      <c r="L108">
        <v>1.0049432</v>
      </c>
      <c r="M108" s="1">
        <v>0.103949</v>
      </c>
      <c r="N108" t="str">
        <f t="shared" si="26"/>
        <v>1(1-1)</v>
      </c>
      <c r="O108">
        <f t="shared" si="27"/>
        <v>0.104</v>
      </c>
      <c r="R108" t="s">
        <v>61</v>
      </c>
      <c r="S108" s="1">
        <v>1.0025379999999999</v>
      </c>
      <c r="T108">
        <v>0.99716070000000001</v>
      </c>
      <c r="U108">
        <v>1.0079446999999999</v>
      </c>
      <c r="V108" s="1">
        <v>0.3555856</v>
      </c>
      <c r="W108" t="str">
        <f t="shared" si="28"/>
        <v>1(1-1.01)</v>
      </c>
      <c r="X108">
        <f t="shared" si="29"/>
        <v>0.35599999999999998</v>
      </c>
    </row>
    <row r="109" spans="1:24" x14ac:dyDescent="0.3">
      <c r="A109" t="s">
        <v>62</v>
      </c>
      <c r="B109">
        <v>0.91154630000000003</v>
      </c>
      <c r="C109">
        <v>0.89644020000000002</v>
      </c>
      <c r="D109">
        <v>0.92690700000000004</v>
      </c>
      <c r="E109" s="1">
        <v>1.7433449999999999E-27</v>
      </c>
      <c r="F109" t="str">
        <f t="shared" si="24"/>
        <v>0.91(0.9-0.93)</v>
      </c>
      <c r="G109" t="str">
        <f t="shared" si="25"/>
        <v>&lt;0.001</v>
      </c>
      <c r="I109" t="s">
        <v>62</v>
      </c>
      <c r="J109">
        <v>0.91446150000000004</v>
      </c>
      <c r="K109">
        <v>0.89802539999999997</v>
      </c>
      <c r="L109">
        <v>0.93119850000000004</v>
      </c>
      <c r="M109" s="1">
        <v>4.326537E-22</v>
      </c>
      <c r="N109" t="str">
        <f t="shared" si="26"/>
        <v>0.91(0.9-0.93)</v>
      </c>
      <c r="O109" t="str">
        <f t="shared" si="27"/>
        <v>&lt;0.001</v>
      </c>
      <c r="R109" t="s">
        <v>62</v>
      </c>
      <c r="S109" s="1">
        <v>0.89630690000000002</v>
      </c>
      <c r="T109">
        <v>0.85838170000000003</v>
      </c>
      <c r="U109">
        <v>0.93590770000000001</v>
      </c>
      <c r="V109" s="1">
        <v>6.9481020000000005E-7</v>
      </c>
      <c r="W109" t="str">
        <f t="shared" si="28"/>
        <v>0.9(0.86-0.94)</v>
      </c>
      <c r="X109" t="str">
        <f t="shared" si="29"/>
        <v>&lt;0.001</v>
      </c>
    </row>
    <row r="110" spans="1:24" x14ac:dyDescent="0.3">
      <c r="A110" t="s">
        <v>63</v>
      </c>
      <c r="B110">
        <v>0.97299179999999996</v>
      </c>
      <c r="C110">
        <v>0.83782091999999997</v>
      </c>
      <c r="D110">
        <v>1.1299706</v>
      </c>
      <c r="E110" s="1">
        <v>0.71975999999999996</v>
      </c>
      <c r="F110" t="str">
        <f>ROUND($B110,2)&amp;"("&amp;ROUND($C110,2)&amp;"-"&amp;ROUND($D110,2)&amp;")"</f>
        <v>0.97(0.84-1.13)</v>
      </c>
      <c r="G110">
        <f t="shared" si="25"/>
        <v>0.72</v>
      </c>
      <c r="I110" t="s">
        <v>63</v>
      </c>
      <c r="J110">
        <v>0.92987310000000001</v>
      </c>
      <c r="K110">
        <v>0.78849570000000002</v>
      </c>
      <c r="L110">
        <v>1.0965996</v>
      </c>
      <c r="M110" s="1">
        <v>0.3875499</v>
      </c>
      <c r="N110" t="str">
        <f t="shared" si="26"/>
        <v>0.93(0.79-1.1)</v>
      </c>
      <c r="O110">
        <f t="shared" si="27"/>
        <v>0.38800000000000001</v>
      </c>
      <c r="R110" t="s">
        <v>63</v>
      </c>
      <c r="S110" s="1">
        <v>1.194647</v>
      </c>
      <c r="T110">
        <v>0.83660679999999998</v>
      </c>
      <c r="U110">
        <v>1.7059154999999999</v>
      </c>
      <c r="V110" s="1">
        <v>0.32784340000000001</v>
      </c>
      <c r="W110" t="str">
        <f t="shared" si="28"/>
        <v>1.19(0.84-1.71)</v>
      </c>
      <c r="X110">
        <f t="shared" si="29"/>
        <v>0.32800000000000001</v>
      </c>
    </row>
    <row r="111" spans="1:24" x14ac:dyDescent="0.3">
      <c r="A111" t="s">
        <v>64</v>
      </c>
      <c r="B111">
        <v>0.98781010000000002</v>
      </c>
      <c r="C111">
        <v>0.85649690000000001</v>
      </c>
      <c r="D111">
        <v>1.1392553999999999</v>
      </c>
      <c r="E111" s="1">
        <v>0.86616879999999996</v>
      </c>
      <c r="F111" t="str">
        <f t="shared" si="24"/>
        <v>0.99(0.86-1.14)</v>
      </c>
      <c r="G111">
        <f t="shared" si="25"/>
        <v>0.86599999999999999</v>
      </c>
      <c r="I111" t="s">
        <v>64</v>
      </c>
      <c r="J111">
        <v>1.0286105999999999</v>
      </c>
      <c r="K111">
        <v>0.88226519999999997</v>
      </c>
      <c r="L111">
        <v>1.1992309000000001</v>
      </c>
      <c r="M111" s="1">
        <v>0.71865820000000002</v>
      </c>
      <c r="N111" t="str">
        <f t="shared" si="26"/>
        <v>1.03(0.88-1.2)</v>
      </c>
      <c r="O111">
        <f t="shared" si="27"/>
        <v>0.71899999999999997</v>
      </c>
      <c r="R111" t="s">
        <v>64</v>
      </c>
      <c r="S111" s="1">
        <v>0.76690729999999996</v>
      </c>
      <c r="T111">
        <v>0.51869730000000003</v>
      </c>
      <c r="U111">
        <v>1.1338921</v>
      </c>
      <c r="V111" s="1">
        <v>0.18346499999999999</v>
      </c>
      <c r="W111" t="str">
        <f t="shared" si="28"/>
        <v>0.77(0.52-1.13)</v>
      </c>
      <c r="X111">
        <f t="shared" si="29"/>
        <v>0.183</v>
      </c>
    </row>
    <row r="112" spans="1:24" x14ac:dyDescent="0.3">
      <c r="A112" t="s">
        <v>65</v>
      </c>
      <c r="B112">
        <v>0.94036140000000001</v>
      </c>
      <c r="C112">
        <v>0.82536772999999997</v>
      </c>
      <c r="D112">
        <v>1.0713766</v>
      </c>
      <c r="E112" s="1">
        <v>0.3554948</v>
      </c>
      <c r="F112" t="str">
        <f t="shared" si="24"/>
        <v>0.94(0.83-1.07)</v>
      </c>
      <c r="G112">
        <f t="shared" si="25"/>
        <v>0.35499999999999998</v>
      </c>
      <c r="I112" t="s">
        <v>65</v>
      </c>
      <c r="J112">
        <v>0.93870730000000002</v>
      </c>
      <c r="K112">
        <v>0.81431160000000002</v>
      </c>
      <c r="L112">
        <v>1.0821057999999999</v>
      </c>
      <c r="M112" s="1">
        <v>0.38318210000000003</v>
      </c>
      <c r="N112" t="str">
        <f t="shared" si="26"/>
        <v>0.94(0.81-1.08)</v>
      </c>
      <c r="O112">
        <f t="shared" si="27"/>
        <v>0.38300000000000001</v>
      </c>
      <c r="R112" t="s">
        <v>65</v>
      </c>
      <c r="S112" s="1">
        <v>0.93929560000000001</v>
      </c>
      <c r="T112">
        <v>0.67657109999999998</v>
      </c>
      <c r="U112">
        <v>1.3040406</v>
      </c>
      <c r="V112" s="1">
        <v>0.70832209999999995</v>
      </c>
      <c r="W112" t="str">
        <f t="shared" si="28"/>
        <v>0.94(0.68-1.3)</v>
      </c>
      <c r="X112">
        <f t="shared" si="29"/>
        <v>0.70799999999999996</v>
      </c>
    </row>
    <row r="113" spans="1:24" x14ac:dyDescent="0.3">
      <c r="A113" t="s">
        <v>66</v>
      </c>
      <c r="B113">
        <v>0.84731060000000002</v>
      </c>
      <c r="C113">
        <v>0.75223753999999998</v>
      </c>
      <c r="D113">
        <v>0.95439960000000001</v>
      </c>
      <c r="E113" s="1">
        <v>6.360732E-3</v>
      </c>
      <c r="F113" t="str">
        <f t="shared" si="24"/>
        <v>0.85(0.75-0.95)</v>
      </c>
      <c r="G113">
        <f t="shared" si="25"/>
        <v>6.0000000000000001E-3</v>
      </c>
      <c r="I113" t="s">
        <v>66</v>
      </c>
      <c r="J113">
        <v>0.84694069999999999</v>
      </c>
      <c r="K113">
        <v>0.74384740000000005</v>
      </c>
      <c r="L113">
        <v>0.96432220000000002</v>
      </c>
      <c r="M113" s="1">
        <v>1.212239E-2</v>
      </c>
      <c r="N113" t="str">
        <f t="shared" si="26"/>
        <v>0.85(0.74-0.96)</v>
      </c>
      <c r="O113">
        <f t="shared" si="27"/>
        <v>1.2E-2</v>
      </c>
      <c r="R113" t="s">
        <v>66</v>
      </c>
      <c r="S113" s="1">
        <v>0.83557720000000002</v>
      </c>
      <c r="T113">
        <v>0.62003750000000002</v>
      </c>
      <c r="U113">
        <v>1.1260436</v>
      </c>
      <c r="V113" s="1">
        <v>0.2379619</v>
      </c>
      <c r="W113" t="str">
        <f t="shared" si="28"/>
        <v>0.84(0.62-1.13)</v>
      </c>
      <c r="X113">
        <f t="shared" si="29"/>
        <v>0.23799999999999999</v>
      </c>
    </row>
    <row r="114" spans="1:24" x14ac:dyDescent="0.3">
      <c r="A114" t="s">
        <v>68</v>
      </c>
      <c r="B114">
        <v>1.1663633</v>
      </c>
      <c r="C114">
        <v>1.0351972199999999</v>
      </c>
      <c r="D114">
        <v>1.314149</v>
      </c>
      <c r="E114" s="1">
        <v>1.1462379999999999E-2</v>
      </c>
      <c r="F114" t="str">
        <f t="shared" si="24"/>
        <v>1.17(1.04-1.31)</v>
      </c>
      <c r="G114">
        <f t="shared" si="25"/>
        <v>1.0999999999999999E-2</v>
      </c>
      <c r="I114" t="s">
        <v>68</v>
      </c>
      <c r="J114">
        <v>1.1057110000000001</v>
      </c>
      <c r="K114">
        <v>0.97361529999999996</v>
      </c>
      <c r="L114">
        <v>1.2557289</v>
      </c>
      <c r="M114" s="1">
        <v>0.1216115</v>
      </c>
      <c r="N114" t="str">
        <f t="shared" si="26"/>
        <v>1.11(0.97-1.26)</v>
      </c>
      <c r="O114">
        <f t="shared" si="27"/>
        <v>0.122</v>
      </c>
      <c r="R114" t="s">
        <v>68</v>
      </c>
      <c r="S114" s="1">
        <v>1.6918150000000001</v>
      </c>
      <c r="T114">
        <v>1.1914636000000001</v>
      </c>
      <c r="U114">
        <v>2.4022869999999998</v>
      </c>
      <c r="V114" s="1">
        <v>3.2902389999999999E-3</v>
      </c>
      <c r="W114" t="str">
        <f t="shared" si="28"/>
        <v>1.69(1.19-2.4)</v>
      </c>
      <c r="X114">
        <f t="shared" si="29"/>
        <v>3.0000000000000001E-3</v>
      </c>
    </row>
    <row r="115" spans="1:24" x14ac:dyDescent="0.3">
      <c r="A115" t="s">
        <v>69</v>
      </c>
      <c r="B115">
        <v>1.4234564000000001</v>
      </c>
      <c r="C115">
        <v>1.2171665899999999</v>
      </c>
      <c r="D115">
        <v>1.6647088999999999</v>
      </c>
      <c r="E115" s="1">
        <v>9.8600560000000003E-6</v>
      </c>
      <c r="F115" t="str">
        <f t="shared" si="24"/>
        <v>1.42(1.22-1.66)</v>
      </c>
      <c r="G115" t="str">
        <f t="shared" si="25"/>
        <v>&lt;0.001</v>
      </c>
      <c r="I115" t="s">
        <v>69</v>
      </c>
      <c r="J115">
        <v>1.3105861000000001</v>
      </c>
      <c r="K115">
        <v>1.1044014</v>
      </c>
      <c r="L115">
        <v>1.5552642000000001</v>
      </c>
      <c r="M115" s="1">
        <v>1.954763E-3</v>
      </c>
      <c r="N115" t="str">
        <f t="shared" si="26"/>
        <v>1.31(1.1-1.56)</v>
      </c>
      <c r="O115">
        <f t="shared" si="27"/>
        <v>2E-3</v>
      </c>
      <c r="R115" t="s">
        <v>69</v>
      </c>
      <c r="S115" s="1">
        <v>2.3549850000000001</v>
      </c>
      <c r="T115">
        <v>1.5611206</v>
      </c>
      <c r="U115">
        <v>3.5525481999999999</v>
      </c>
      <c r="V115" s="1">
        <v>4.4397349999999999E-5</v>
      </c>
      <c r="W115" t="str">
        <f t="shared" si="28"/>
        <v>2.35(1.56-3.55)</v>
      </c>
      <c r="X115" t="str">
        <f t="shared" si="29"/>
        <v>&lt;0.001</v>
      </c>
    </row>
    <row r="116" spans="1:24" x14ac:dyDescent="0.3">
      <c r="A116" t="s">
        <v>74</v>
      </c>
      <c r="B116">
        <v>1.5685579999999999</v>
      </c>
      <c r="C116">
        <v>1.3445885099999999</v>
      </c>
      <c r="D116">
        <v>1.8298342999999999</v>
      </c>
      <c r="E116" s="1">
        <v>1.0245869999999999E-8</v>
      </c>
      <c r="F116" t="str">
        <f t="shared" si="24"/>
        <v>1.57(1.34-1.83)</v>
      </c>
      <c r="G116" t="str">
        <f t="shared" si="25"/>
        <v>&lt;0.001</v>
      </c>
      <c r="I116" t="s">
        <v>67</v>
      </c>
      <c r="J116">
        <v>1.4686254000000001</v>
      </c>
      <c r="K116">
        <v>1.2454223</v>
      </c>
      <c r="L116">
        <v>1.7318306999999999</v>
      </c>
      <c r="M116" s="1">
        <v>4.8924809999999999E-6</v>
      </c>
      <c r="N116" t="str">
        <f t="shared" si="26"/>
        <v>1.47(1.25-1.73)</v>
      </c>
      <c r="O116" t="str">
        <f t="shared" si="27"/>
        <v>&lt;0.001</v>
      </c>
      <c r="R116" t="s">
        <v>67</v>
      </c>
      <c r="S116" s="1">
        <v>2.4020959999999998</v>
      </c>
      <c r="T116">
        <v>1.5496454</v>
      </c>
      <c r="U116">
        <v>3.7234733000000002</v>
      </c>
      <c r="V116" s="1">
        <v>8.9051969999999998E-5</v>
      </c>
      <c r="W116" t="str">
        <f t="shared" si="28"/>
        <v>2.4(1.55-3.72)</v>
      </c>
      <c r="X116" t="str">
        <f t="shared" si="29"/>
        <v>&lt;0.001</v>
      </c>
    </row>
    <row r="117" spans="1:24" x14ac:dyDescent="0.3">
      <c r="A117" t="s">
        <v>70</v>
      </c>
      <c r="B117">
        <v>0.76346650000000005</v>
      </c>
      <c r="C117">
        <v>0.69830395000000001</v>
      </c>
      <c r="D117">
        <v>0.8347097</v>
      </c>
      <c r="E117" s="1">
        <v>3.0452570000000002E-9</v>
      </c>
      <c r="F117" t="str">
        <f t="shared" si="24"/>
        <v>0.76(0.7-0.83)</v>
      </c>
      <c r="G117" t="str">
        <f t="shared" si="25"/>
        <v>&lt;0.001</v>
      </c>
      <c r="I117" t="s">
        <v>70</v>
      </c>
      <c r="J117">
        <v>0.78873950000000004</v>
      </c>
      <c r="K117">
        <v>0.71605640000000004</v>
      </c>
      <c r="L117">
        <v>0.86880029999999997</v>
      </c>
      <c r="M117" s="1">
        <v>1.4999870000000001E-6</v>
      </c>
      <c r="N117" t="str">
        <f t="shared" si="26"/>
        <v>0.79(0.72-0.87)</v>
      </c>
      <c r="O117" t="str">
        <f t="shared" si="27"/>
        <v>&lt;0.001</v>
      </c>
      <c r="R117" t="s">
        <v>70</v>
      </c>
      <c r="S117" s="1">
        <v>0.62993339999999998</v>
      </c>
      <c r="T117">
        <v>0.49901590000000001</v>
      </c>
      <c r="U117">
        <v>0.7951973</v>
      </c>
      <c r="V117" s="1">
        <v>1.0112949999999999E-4</v>
      </c>
      <c r="W117" t="str">
        <f t="shared" si="28"/>
        <v>0.63(0.5-0.8)</v>
      </c>
      <c r="X117" t="str">
        <f t="shared" si="29"/>
        <v>&lt;0.001</v>
      </c>
    </row>
    <row r="118" spans="1:24" x14ac:dyDescent="0.3">
      <c r="A118" t="s">
        <v>21</v>
      </c>
      <c r="B118">
        <v>0.85984579999999999</v>
      </c>
      <c r="C118">
        <v>0.73191715000000002</v>
      </c>
      <c r="D118">
        <v>1.0101346</v>
      </c>
      <c r="E118" s="1">
        <v>6.6169339999999993E-2</v>
      </c>
      <c r="F118" t="str">
        <f t="shared" si="24"/>
        <v>0.86(0.73-1.01)</v>
      </c>
      <c r="G118">
        <f t="shared" si="25"/>
        <v>6.6000000000000003E-2</v>
      </c>
      <c r="I118" t="s">
        <v>21</v>
      </c>
      <c r="J118">
        <v>0.83383850000000004</v>
      </c>
      <c r="K118">
        <v>0.70432919999999999</v>
      </c>
      <c r="L118">
        <v>0.98716159999999997</v>
      </c>
      <c r="M118" s="1">
        <v>3.485808E-2</v>
      </c>
      <c r="N118" t="str">
        <f t="shared" si="26"/>
        <v>0.83(0.7-0.99)</v>
      </c>
      <c r="O118">
        <f t="shared" si="27"/>
        <v>3.5000000000000003E-2</v>
      </c>
      <c r="R118" t="s">
        <v>21</v>
      </c>
      <c r="S118" s="1">
        <v>1.0679620000000001</v>
      </c>
      <c r="T118">
        <v>0.61686779999999997</v>
      </c>
      <c r="U118">
        <v>1.8489267</v>
      </c>
      <c r="V118" s="1">
        <v>0.81436169999999997</v>
      </c>
      <c r="W118" t="str">
        <f t="shared" si="28"/>
        <v>1.07(0.62-1.85)</v>
      </c>
      <c r="X118">
        <f t="shared" si="29"/>
        <v>0.81399999999999995</v>
      </c>
    </row>
    <row r="119" spans="1:24" x14ac:dyDescent="0.3">
      <c r="A119" t="s">
        <v>22</v>
      </c>
      <c r="B119">
        <v>1.9831608999999999</v>
      </c>
      <c r="C119">
        <v>1.7495623499999999</v>
      </c>
      <c r="D119">
        <v>2.2479491</v>
      </c>
      <c r="E119" s="1">
        <v>9.3538170000000005E-27</v>
      </c>
      <c r="F119" t="str">
        <f t="shared" si="24"/>
        <v>1.98(1.75-2.25)</v>
      </c>
      <c r="G119" t="str">
        <f t="shared" si="25"/>
        <v>&lt;0.001</v>
      </c>
      <c r="I119" t="s">
        <v>22</v>
      </c>
      <c r="J119">
        <v>2.2240164999999998</v>
      </c>
      <c r="K119">
        <v>1.9246489</v>
      </c>
      <c r="L119">
        <v>2.5699489</v>
      </c>
      <c r="M119" s="1">
        <v>2.314609E-27</v>
      </c>
      <c r="N119" t="str">
        <f t="shared" si="26"/>
        <v>2.22(1.92-2.57)</v>
      </c>
      <c r="O119" t="str">
        <f t="shared" si="27"/>
        <v>&lt;0.001</v>
      </c>
      <c r="R119" t="s">
        <v>22</v>
      </c>
      <c r="S119" s="1">
        <v>1.45313</v>
      </c>
      <c r="T119">
        <v>1.1195915999999999</v>
      </c>
      <c r="U119">
        <v>1.8860326000000001</v>
      </c>
      <c r="V119" s="1">
        <v>4.9687209999999997E-3</v>
      </c>
      <c r="W119" t="str">
        <f t="shared" si="28"/>
        <v>1.45(1.12-1.89)</v>
      </c>
      <c r="X119">
        <f t="shared" si="29"/>
        <v>5.0000000000000001E-3</v>
      </c>
    </row>
    <row r="120" spans="1:24" x14ac:dyDescent="0.3">
      <c r="A120" t="s">
        <v>23</v>
      </c>
      <c r="B120">
        <v>3.8672319000000002</v>
      </c>
      <c r="C120">
        <v>3.34567996</v>
      </c>
      <c r="D120">
        <v>4.4700876000000003</v>
      </c>
      <c r="E120" s="1">
        <v>8.4609410000000005E-75</v>
      </c>
      <c r="F120" t="str">
        <f t="shared" si="24"/>
        <v>3.87(3.35-4.47)</v>
      </c>
      <c r="G120" t="str">
        <f t="shared" si="25"/>
        <v>&lt;0.001</v>
      </c>
      <c r="I120" t="s">
        <v>23</v>
      </c>
      <c r="J120">
        <v>4.48278</v>
      </c>
      <c r="K120">
        <v>3.8088381</v>
      </c>
      <c r="L120">
        <v>5.2759703</v>
      </c>
      <c r="M120" s="1">
        <v>8.1281399999999999E-73</v>
      </c>
      <c r="N120" t="str">
        <f t="shared" si="26"/>
        <v>4.48(3.81-5.28)</v>
      </c>
      <c r="O120" t="str">
        <f t="shared" si="27"/>
        <v>&lt;0.001</v>
      </c>
      <c r="R120" t="s">
        <v>23</v>
      </c>
      <c r="S120" s="1">
        <v>1.6828339999999999</v>
      </c>
      <c r="T120">
        <v>1.1391652999999999</v>
      </c>
      <c r="U120">
        <v>2.4859699000000002</v>
      </c>
      <c r="V120" s="1">
        <v>8.9367549999999994E-3</v>
      </c>
      <c r="W120" t="str">
        <f t="shared" si="28"/>
        <v>1.68(1.14-2.49)</v>
      </c>
      <c r="X120">
        <f t="shared" si="29"/>
        <v>8.9999999999999993E-3</v>
      </c>
    </row>
    <row r="121" spans="1:24" x14ac:dyDescent="0.3">
      <c r="A121" t="s">
        <v>24</v>
      </c>
      <c r="B121">
        <v>1.856886</v>
      </c>
      <c r="C121">
        <v>1.5391451199999999</v>
      </c>
      <c r="D121">
        <v>2.2402213</v>
      </c>
      <c r="E121" s="1">
        <v>1.023294E-10</v>
      </c>
      <c r="F121" t="str">
        <f t="shared" si="24"/>
        <v>1.86(1.54-2.24)</v>
      </c>
      <c r="G121" t="str">
        <f t="shared" si="25"/>
        <v>&lt;0.001</v>
      </c>
      <c r="I121" t="s">
        <v>24</v>
      </c>
      <c r="J121">
        <v>1.9801705999999999</v>
      </c>
      <c r="K121">
        <v>1.6006312</v>
      </c>
      <c r="L121">
        <v>2.4497059999999999</v>
      </c>
      <c r="M121" s="1">
        <v>3.1178259999999998E-10</v>
      </c>
      <c r="N121" t="str">
        <f t="shared" si="26"/>
        <v>1.98(1.6-2.45)</v>
      </c>
      <c r="O121" t="str">
        <f t="shared" si="27"/>
        <v>&lt;0.001</v>
      </c>
      <c r="R121" t="s">
        <v>24</v>
      </c>
      <c r="S121" s="1">
        <v>1.724208</v>
      </c>
      <c r="T121">
        <v>1.1429859</v>
      </c>
      <c r="U121">
        <v>2.6009878999999998</v>
      </c>
      <c r="V121" s="1">
        <v>9.4017340000000001E-3</v>
      </c>
      <c r="W121" t="str">
        <f t="shared" si="28"/>
        <v>1.72(1.14-2.6)</v>
      </c>
      <c r="X121">
        <f t="shared" si="29"/>
        <v>8.9999999999999993E-3</v>
      </c>
    </row>
    <row r="122" spans="1:24" x14ac:dyDescent="0.3">
      <c r="A122" t="s">
        <v>71</v>
      </c>
      <c r="B122">
        <v>0.33269090000000001</v>
      </c>
      <c r="C122">
        <v>0.29709517000000002</v>
      </c>
      <c r="D122">
        <v>0.37255129999999997</v>
      </c>
      <c r="E122" s="1">
        <v>5.2736639999999998E-81</v>
      </c>
      <c r="F122" t="str">
        <f t="shared" si="24"/>
        <v>0.33(0.3-0.37)</v>
      </c>
      <c r="G122" t="str">
        <f t="shared" si="25"/>
        <v>&lt;0.001</v>
      </c>
      <c r="I122" t="s">
        <v>71</v>
      </c>
      <c r="J122">
        <v>0.29834880000000003</v>
      </c>
      <c r="K122">
        <v>0.26308870000000001</v>
      </c>
      <c r="L122">
        <v>0.33833469999999999</v>
      </c>
      <c r="M122" s="1">
        <v>3.0486949999999998E-79</v>
      </c>
      <c r="N122" t="str">
        <f t="shared" si="26"/>
        <v>0.3(0.26-0.34)</v>
      </c>
      <c r="O122" t="str">
        <f t="shared" si="27"/>
        <v>&lt;0.001</v>
      </c>
      <c r="R122" t="s">
        <v>71</v>
      </c>
      <c r="S122" s="1">
        <v>0.57587239999999995</v>
      </c>
      <c r="T122">
        <v>0.43573529999999999</v>
      </c>
      <c r="U122">
        <v>0.76107910000000001</v>
      </c>
      <c r="V122" s="1">
        <v>1.049174E-4</v>
      </c>
      <c r="W122" t="str">
        <f t="shared" si="28"/>
        <v>0.58(0.44-0.76)</v>
      </c>
      <c r="X122" t="str">
        <f t="shared" si="29"/>
        <v>&lt;0.001</v>
      </c>
    </row>
    <row r="123" spans="1:24" x14ac:dyDescent="0.3">
      <c r="A123" t="s">
        <v>72</v>
      </c>
      <c r="B123">
        <v>0.8965455</v>
      </c>
      <c r="C123">
        <v>0.80218082000000002</v>
      </c>
      <c r="D123">
        <v>1.0020108000000001</v>
      </c>
      <c r="E123" s="1">
        <v>5.4284079999999998E-2</v>
      </c>
      <c r="F123" t="str">
        <f t="shared" si="24"/>
        <v>0.9(0.8-1)</v>
      </c>
      <c r="G123">
        <f t="shared" si="25"/>
        <v>5.3999999999999999E-2</v>
      </c>
      <c r="I123" t="s">
        <v>72</v>
      </c>
      <c r="J123">
        <v>0.88144679999999997</v>
      </c>
      <c r="K123">
        <v>0.78248200000000001</v>
      </c>
      <c r="L123">
        <v>0.99292820000000004</v>
      </c>
      <c r="M123" s="1">
        <v>3.7823620000000002E-2</v>
      </c>
      <c r="N123" t="str">
        <f t="shared" si="26"/>
        <v>0.88(0.78-0.99)</v>
      </c>
      <c r="O123">
        <f t="shared" si="27"/>
        <v>3.7999999999999999E-2</v>
      </c>
      <c r="R123" t="s">
        <v>72</v>
      </c>
      <c r="S123" s="1">
        <v>1.025264</v>
      </c>
      <c r="T123">
        <v>0.74694850000000002</v>
      </c>
      <c r="U123">
        <v>1.4072817</v>
      </c>
      <c r="V123" s="1">
        <v>0.87728899999999999</v>
      </c>
      <c r="W123" t="str">
        <f t="shared" si="28"/>
        <v>1.03(0.75-1.41)</v>
      </c>
      <c r="X123">
        <f t="shared" si="29"/>
        <v>0.877</v>
      </c>
    </row>
    <row r="124" spans="1:24" x14ac:dyDescent="0.3">
      <c r="A124" t="s">
        <v>73</v>
      </c>
      <c r="B124">
        <v>1.2499986999999999</v>
      </c>
      <c r="C124">
        <v>1.12398003</v>
      </c>
      <c r="D124">
        <v>1.3901463999999999</v>
      </c>
      <c r="E124" s="1">
        <v>3.8616140000000001E-5</v>
      </c>
      <c r="F124" t="str">
        <f t="shared" si="24"/>
        <v>1.25(1.12-1.39)</v>
      </c>
      <c r="G124" t="str">
        <f t="shared" si="25"/>
        <v>&lt;0.001</v>
      </c>
      <c r="I124" t="s">
        <v>73</v>
      </c>
      <c r="J124">
        <v>1.3762589000000001</v>
      </c>
      <c r="K124">
        <v>1.2255754999999999</v>
      </c>
      <c r="L124">
        <v>1.5454686</v>
      </c>
      <c r="M124" s="1">
        <v>6.7360369999999995E-8</v>
      </c>
      <c r="N124" t="str">
        <f t="shared" si="26"/>
        <v>1.38(1.23-1.55)</v>
      </c>
      <c r="O124" t="str">
        <f t="shared" si="27"/>
        <v>&lt;0.001</v>
      </c>
      <c r="R124" t="s">
        <v>73</v>
      </c>
      <c r="S124" s="1">
        <v>0.67865889999999995</v>
      </c>
      <c r="T124">
        <v>0.50384430000000002</v>
      </c>
      <c r="U124">
        <v>0.91412740000000003</v>
      </c>
      <c r="V124" s="1">
        <v>1.074815E-2</v>
      </c>
      <c r="W124" t="str">
        <f t="shared" si="28"/>
        <v>0.68(0.5-0.91)</v>
      </c>
      <c r="X124">
        <f t="shared" si="29"/>
        <v>1.0999999999999999E-2</v>
      </c>
    </row>
    <row r="125" spans="1:24" x14ac:dyDescent="0.3">
      <c r="N125" s="1"/>
    </row>
    <row r="126" spans="1:24" x14ac:dyDescent="0.3">
      <c r="N126" s="1"/>
    </row>
    <row r="127" spans="1:24" x14ac:dyDescent="0.3">
      <c r="N127" s="1"/>
    </row>
    <row r="128" spans="1:24" x14ac:dyDescent="0.3">
      <c r="N128" s="1"/>
    </row>
    <row r="129" spans="14:14" x14ac:dyDescent="0.3">
      <c r="N129" s="1"/>
    </row>
    <row r="130" spans="14:14" x14ac:dyDescent="0.3">
      <c r="N130" s="1"/>
    </row>
    <row r="131" spans="14:14" x14ac:dyDescent="0.3">
      <c r="N131" s="1"/>
    </row>
    <row r="132" spans="14:14" x14ac:dyDescent="0.3">
      <c r="N132" s="1"/>
    </row>
    <row r="133" spans="14:14" x14ac:dyDescent="0.3">
      <c r="N133" s="1"/>
    </row>
    <row r="139" spans="14:14" x14ac:dyDescent="0.3">
      <c r="N139" s="1"/>
    </row>
    <row r="140" spans="14:14" x14ac:dyDescent="0.3">
      <c r="N140" s="1"/>
    </row>
    <row r="141" spans="14:14" x14ac:dyDescent="0.3">
      <c r="N141" s="1"/>
    </row>
    <row r="142" spans="14:14" x14ac:dyDescent="0.3">
      <c r="N142" s="1"/>
    </row>
    <row r="143" spans="14:14" x14ac:dyDescent="0.3">
      <c r="N143" s="1"/>
    </row>
    <row r="144" spans="14:14" x14ac:dyDescent="0.3">
      <c r="N144" s="1"/>
    </row>
    <row r="145" spans="14:14" x14ac:dyDescent="0.3">
      <c r="N145" s="1"/>
    </row>
    <row r="146" spans="14:14" x14ac:dyDescent="0.3">
      <c r="N146" s="1"/>
    </row>
    <row r="147" spans="14:14" x14ac:dyDescent="0.3">
      <c r="N147" s="1"/>
    </row>
    <row r="148" spans="14:14" x14ac:dyDescent="0.3">
      <c r="N148" s="1"/>
    </row>
    <row r="149" spans="14:14" x14ac:dyDescent="0.3">
      <c r="N149" s="1"/>
    </row>
    <row r="150" spans="14:14" x14ac:dyDescent="0.3">
      <c r="N150" s="1"/>
    </row>
    <row r="151" spans="14:14" x14ac:dyDescent="0.3">
      <c r="N151" s="1"/>
    </row>
    <row r="152" spans="14:14" x14ac:dyDescent="0.3">
      <c r="N152" s="1"/>
    </row>
    <row r="153" spans="14:14" x14ac:dyDescent="0.3">
      <c r="N153" s="1"/>
    </row>
    <row r="154" spans="14:14" x14ac:dyDescent="0.3">
      <c r="N154" s="1"/>
    </row>
    <row r="155" spans="14:14" x14ac:dyDescent="0.3">
      <c r="N155" s="1"/>
    </row>
    <row r="156" spans="14:14" x14ac:dyDescent="0.3">
      <c r="N156" s="1"/>
    </row>
    <row r="157" spans="14:14" x14ac:dyDescent="0.3">
      <c r="N157" s="1"/>
    </row>
    <row r="158" spans="14:14" x14ac:dyDescent="0.3">
      <c r="N158" s="1"/>
    </row>
    <row r="159" spans="14:14" x14ac:dyDescent="0.3">
      <c r="N159" s="1"/>
    </row>
    <row r="160" spans="14:14" x14ac:dyDescent="0.3">
      <c r="N160" s="1"/>
    </row>
    <row r="167" spans="14:14" x14ac:dyDescent="0.3">
      <c r="N167" s="1"/>
    </row>
    <row r="168" spans="14:14" x14ac:dyDescent="0.3">
      <c r="N168" s="1"/>
    </row>
    <row r="169" spans="14:14" x14ac:dyDescent="0.3">
      <c r="N169" s="1"/>
    </row>
    <row r="170" spans="14:14" x14ac:dyDescent="0.3">
      <c r="N170" s="1"/>
    </row>
    <row r="171" spans="14:14" x14ac:dyDescent="0.3">
      <c r="N171" s="1"/>
    </row>
    <row r="172" spans="14:14" x14ac:dyDescent="0.3">
      <c r="N172" s="1"/>
    </row>
    <row r="173" spans="14:14" x14ac:dyDescent="0.3">
      <c r="N173" s="1"/>
    </row>
    <row r="174" spans="14:14" x14ac:dyDescent="0.3">
      <c r="N174" s="1"/>
    </row>
    <row r="175" spans="14:14" x14ac:dyDescent="0.3">
      <c r="N175" s="1"/>
    </row>
    <row r="176" spans="14:14" x14ac:dyDescent="0.3">
      <c r="N176" s="1"/>
    </row>
    <row r="177" spans="6:14" x14ac:dyDescent="0.3">
      <c r="N177" s="1"/>
    </row>
    <row r="178" spans="6:14" x14ac:dyDescent="0.3">
      <c r="N178" s="1"/>
    </row>
    <row r="179" spans="6:14" x14ac:dyDescent="0.3">
      <c r="N179" s="1"/>
    </row>
    <row r="180" spans="6:14" x14ac:dyDescent="0.3">
      <c r="N180" s="1"/>
    </row>
    <row r="181" spans="6:14" x14ac:dyDescent="0.3">
      <c r="N181" s="1"/>
    </row>
    <row r="182" spans="6:14" x14ac:dyDescent="0.3">
      <c r="N182" s="1"/>
    </row>
    <row r="183" spans="6:14" x14ac:dyDescent="0.3">
      <c r="N183" s="1"/>
    </row>
    <row r="184" spans="6:14" x14ac:dyDescent="0.3">
      <c r="N184" s="1"/>
    </row>
    <row r="185" spans="6:14" x14ac:dyDescent="0.3">
      <c r="N185" s="1"/>
    </row>
    <row r="186" spans="6:14" x14ac:dyDescent="0.3">
      <c r="F186" s="1"/>
    </row>
    <row r="187" spans="6:14" x14ac:dyDescent="0.3">
      <c r="F187" s="1"/>
    </row>
    <row r="191" spans="6:14" x14ac:dyDescent="0.3">
      <c r="N191" s="1"/>
    </row>
    <row r="192" spans="6:14" x14ac:dyDescent="0.3">
      <c r="N192" s="1"/>
    </row>
    <row r="193" spans="14:14" x14ac:dyDescent="0.3">
      <c r="N193" s="1"/>
    </row>
    <row r="194" spans="14:14" x14ac:dyDescent="0.3">
      <c r="N194" s="1"/>
    </row>
    <row r="195" spans="14:14" x14ac:dyDescent="0.3">
      <c r="N195" s="1"/>
    </row>
    <row r="196" spans="14:14" x14ac:dyDescent="0.3">
      <c r="N196" s="1"/>
    </row>
    <row r="197" spans="14:14" x14ac:dyDescent="0.3">
      <c r="N197" s="1"/>
    </row>
    <row r="198" spans="14:14" x14ac:dyDescent="0.3">
      <c r="N198" s="1"/>
    </row>
    <row r="199" spans="14:14" x14ac:dyDescent="0.3">
      <c r="N199" s="1"/>
    </row>
    <row r="200" spans="14:14" x14ac:dyDescent="0.3">
      <c r="N200" s="1"/>
    </row>
    <row r="201" spans="14:14" x14ac:dyDescent="0.3">
      <c r="N201" s="1"/>
    </row>
    <row r="202" spans="14:14" x14ac:dyDescent="0.3">
      <c r="N202" s="1"/>
    </row>
    <row r="203" spans="14:14" x14ac:dyDescent="0.3">
      <c r="N203" s="1"/>
    </row>
    <row r="204" spans="14:14" x14ac:dyDescent="0.3">
      <c r="N204" s="1"/>
    </row>
    <row r="205" spans="14:14" x14ac:dyDescent="0.3">
      <c r="N205" s="1"/>
    </row>
    <row r="206" spans="14:14" x14ac:dyDescent="0.3">
      <c r="N206" s="1"/>
    </row>
    <row r="207" spans="14:14" x14ac:dyDescent="0.3">
      <c r="N207" s="1"/>
    </row>
    <row r="208" spans="14:14" x14ac:dyDescent="0.3">
      <c r="N208" s="1"/>
    </row>
    <row r="209" spans="14:14" x14ac:dyDescent="0.3">
      <c r="N209" s="1"/>
    </row>
    <row r="218" spans="14:14" x14ac:dyDescent="0.3">
      <c r="N218" s="1"/>
    </row>
    <row r="219" spans="14:14" x14ac:dyDescent="0.3">
      <c r="N219" s="1"/>
    </row>
    <row r="220" spans="14:14" x14ac:dyDescent="0.3">
      <c r="N220" s="1"/>
    </row>
    <row r="221" spans="14:14" x14ac:dyDescent="0.3">
      <c r="N221" s="1"/>
    </row>
    <row r="222" spans="14:14" x14ac:dyDescent="0.3">
      <c r="N222" s="1"/>
    </row>
    <row r="223" spans="14:14" x14ac:dyDescent="0.3">
      <c r="N223" s="1"/>
    </row>
    <row r="224" spans="14:14" x14ac:dyDescent="0.3">
      <c r="N224" s="1"/>
    </row>
    <row r="225" spans="14:14" x14ac:dyDescent="0.3">
      <c r="N225" s="1"/>
    </row>
    <row r="226" spans="14:14" x14ac:dyDescent="0.3">
      <c r="N226" s="1"/>
    </row>
    <row r="227" spans="14:14" x14ac:dyDescent="0.3">
      <c r="N227" s="1"/>
    </row>
    <row r="228" spans="14:14" x14ac:dyDescent="0.3">
      <c r="N228" s="1"/>
    </row>
    <row r="229" spans="14:14" x14ac:dyDescent="0.3">
      <c r="N229" s="1"/>
    </row>
    <row r="230" spans="14:14" x14ac:dyDescent="0.3">
      <c r="N230" s="1"/>
    </row>
    <row r="231" spans="14:14" x14ac:dyDescent="0.3">
      <c r="N231" s="1"/>
    </row>
    <row r="232" spans="14:14" x14ac:dyDescent="0.3">
      <c r="N232" s="1"/>
    </row>
    <row r="233" spans="14:14" x14ac:dyDescent="0.3">
      <c r="N233" s="1"/>
    </row>
    <row r="234" spans="14:14" x14ac:dyDescent="0.3">
      <c r="N234" s="1"/>
    </row>
    <row r="235" spans="14:14" x14ac:dyDescent="0.3">
      <c r="N235" s="1"/>
    </row>
    <row r="236" spans="14:14" x14ac:dyDescent="0.3">
      <c r="N236" s="1"/>
    </row>
    <row r="282" spans="21:21" x14ac:dyDescent="0.3">
      <c r="U282" s="1"/>
    </row>
    <row r="283" spans="21:21" x14ac:dyDescent="0.3">
      <c r="U283" s="1"/>
    </row>
    <row r="284" spans="21:21" x14ac:dyDescent="0.3">
      <c r="U284" s="1"/>
    </row>
    <row r="285" spans="21:21" x14ac:dyDescent="0.3">
      <c r="U285" s="1"/>
    </row>
    <row r="286" spans="21:21" x14ac:dyDescent="0.3">
      <c r="U286" s="1"/>
    </row>
    <row r="287" spans="21:21" x14ac:dyDescent="0.3">
      <c r="U287" s="1"/>
    </row>
    <row r="288" spans="21:21" x14ac:dyDescent="0.3">
      <c r="U288" s="1"/>
    </row>
    <row r="289" spans="21:21" x14ac:dyDescent="0.3">
      <c r="U289" s="1"/>
    </row>
    <row r="290" spans="21:21" x14ac:dyDescent="0.3">
      <c r="U290" s="1"/>
    </row>
    <row r="291" spans="21:21" x14ac:dyDescent="0.3">
      <c r="U291" s="1"/>
    </row>
    <row r="292" spans="21:21" x14ac:dyDescent="0.3">
      <c r="U292" s="1"/>
    </row>
    <row r="293" spans="21:21" x14ac:dyDescent="0.3">
      <c r="U293" s="1"/>
    </row>
    <row r="294" spans="21:21" x14ac:dyDescent="0.3">
      <c r="U294" s="1"/>
    </row>
    <row r="295" spans="21:21" x14ac:dyDescent="0.3">
      <c r="U295" s="1"/>
    </row>
    <row r="296" spans="21:21" x14ac:dyDescent="0.3">
      <c r="U296" s="1"/>
    </row>
    <row r="297" spans="21:21" x14ac:dyDescent="0.3">
      <c r="U297" s="1"/>
    </row>
    <row r="298" spans="21:21" x14ac:dyDescent="0.3">
      <c r="U298" s="1"/>
    </row>
    <row r="299" spans="21:21" x14ac:dyDescent="0.3">
      <c r="U299" s="1"/>
    </row>
    <row r="300" spans="21:21" x14ac:dyDescent="0.3">
      <c r="U300" s="1"/>
    </row>
    <row r="301" spans="21:21" x14ac:dyDescent="0.3">
      <c r="U301" s="1"/>
    </row>
    <row r="302" spans="21:21" x14ac:dyDescent="0.3">
      <c r="U302" s="1"/>
    </row>
    <row r="303" spans="21:21" x14ac:dyDescent="0.3">
      <c r="U303" s="1"/>
    </row>
    <row r="304" spans="21:21" x14ac:dyDescent="0.3">
      <c r="U304" s="1"/>
    </row>
    <row r="305" spans="21:21" x14ac:dyDescent="0.3">
      <c r="U305" s="1"/>
    </row>
    <row r="306" spans="21:21" x14ac:dyDescent="0.3">
      <c r="U306" s="1"/>
    </row>
    <row r="307" spans="21:21" x14ac:dyDescent="0.3">
      <c r="U30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opLeftCell="B15" workbookViewId="0">
      <selection activeCell="F20" sqref="F20"/>
    </sheetView>
  </sheetViews>
  <sheetFormatPr defaultRowHeight="16.5" x14ac:dyDescent="0.3"/>
  <cols>
    <col min="1" max="1" width="40.125" bestFit="1" customWidth="1"/>
    <col min="2" max="2" width="10.5" bestFit="1" customWidth="1"/>
    <col min="5" max="5" width="12.75" bestFit="1" customWidth="1"/>
    <col min="6" max="6" width="14" bestFit="1" customWidth="1"/>
    <col min="7" max="7" width="40.125" bestFit="1" customWidth="1"/>
    <col min="8" max="8" width="10.5" bestFit="1" customWidth="1"/>
    <col min="9" max="9" width="40.875" bestFit="1" customWidth="1"/>
    <col min="10" max="10" width="18.125" customWidth="1"/>
    <col min="11" max="11" width="10.5" bestFit="1" customWidth="1"/>
    <col min="12" max="12" width="11.625" bestFit="1" customWidth="1"/>
    <col min="14" max="14" width="15.125" bestFit="1" customWidth="1"/>
  </cols>
  <sheetData>
    <row r="1" spans="1:15" x14ac:dyDescent="0.3">
      <c r="A1" t="s">
        <v>133</v>
      </c>
      <c r="I1" t="s">
        <v>134</v>
      </c>
    </row>
    <row r="2" spans="1:15" x14ac:dyDescent="0.3">
      <c r="B2" t="s">
        <v>112</v>
      </c>
      <c r="C2" t="s">
        <v>89</v>
      </c>
      <c r="D2" t="s">
        <v>113</v>
      </c>
      <c r="E2" t="s">
        <v>114</v>
      </c>
      <c r="F2" t="s">
        <v>91</v>
      </c>
      <c r="G2" t="s">
        <v>115</v>
      </c>
      <c r="J2" t="s">
        <v>112</v>
      </c>
      <c r="K2" t="s">
        <v>89</v>
      </c>
      <c r="L2" t="s">
        <v>113</v>
      </c>
      <c r="M2" t="s">
        <v>114</v>
      </c>
      <c r="N2" t="s">
        <v>91</v>
      </c>
      <c r="O2" t="s">
        <v>115</v>
      </c>
    </row>
    <row r="3" spans="1:15" x14ac:dyDescent="0.3">
      <c r="A3" t="s">
        <v>109</v>
      </c>
      <c r="B3">
        <v>0.91157350000000004</v>
      </c>
      <c r="C3">
        <v>0.81536319999999995</v>
      </c>
      <c r="D3">
        <v>1.0191363</v>
      </c>
      <c r="E3" s="1">
        <v>0.10376340000000001</v>
      </c>
      <c r="F3" t="str">
        <f>ROUND($B3,2)&amp;"("&amp;ROUND($C3,2)&amp;"-"&amp;ROUND($D3,2)&amp;")"</f>
        <v>0.91(0.82-1.02)</v>
      </c>
      <c r="G3">
        <f>IF($E3&lt;0.001,"&lt;0.001",ROUND($E3,3))</f>
        <v>0.104</v>
      </c>
      <c r="I3" t="s">
        <v>109</v>
      </c>
      <c r="J3">
        <v>0.88735779999999997</v>
      </c>
      <c r="K3">
        <v>0.78621660000000004</v>
      </c>
      <c r="L3">
        <v>1.0015102</v>
      </c>
      <c r="M3" s="1">
        <v>5.292608E-2</v>
      </c>
      <c r="N3" t="str">
        <f>ROUND($J3,2)&amp;"("&amp;ROUND($K3,2)&amp;"-"&amp;ROUND($L3,2)&amp;")"</f>
        <v>0.89(0.79-1)</v>
      </c>
      <c r="O3">
        <f>IF($M3&lt;0.001,"&lt;0.001",ROUND($M3,3))</f>
        <v>5.2999999999999999E-2</v>
      </c>
    </row>
    <row r="4" spans="1:15" x14ac:dyDescent="0.3">
      <c r="A4" t="s">
        <v>108</v>
      </c>
      <c r="B4">
        <v>1.2027330000000001</v>
      </c>
      <c r="C4">
        <v>1.0457099999999999</v>
      </c>
      <c r="D4">
        <v>1.3833344999999999</v>
      </c>
      <c r="E4" s="1">
        <v>9.7056550000000005E-3</v>
      </c>
      <c r="F4" t="str">
        <f t="shared" ref="F4:F14" si="0">ROUND($B4,2)&amp;"("&amp;ROUND($C4,2)&amp;"-"&amp;ROUND($D4,2)&amp;")"</f>
        <v>1.2(1.05-1.38)</v>
      </c>
      <c r="G4">
        <f>IF($E4&lt;0.001,"&lt;0.001",ROUND($E4,3))</f>
        <v>0.01</v>
      </c>
      <c r="I4" t="s">
        <v>108</v>
      </c>
      <c r="J4">
        <v>1.1497128000000001</v>
      </c>
      <c r="K4">
        <v>0.98752470000000003</v>
      </c>
      <c r="L4">
        <v>1.3385381999999999</v>
      </c>
      <c r="M4" s="1">
        <v>7.2151800000000002E-2</v>
      </c>
      <c r="N4" t="str">
        <f t="shared" ref="N4:N14" si="1">ROUND($J4,2)&amp;"("&amp;ROUND($K4,2)&amp;"-"&amp;ROUND($L4,2)&amp;")"</f>
        <v>1.15(0.99-1.34)</v>
      </c>
      <c r="O4">
        <f t="shared" ref="O4:O14" si="2">IF($M4&lt;0.001,"&lt;0.001",ROUND($M4,3))</f>
        <v>7.1999999999999995E-2</v>
      </c>
    </row>
    <row r="5" spans="1:15" x14ac:dyDescent="0.3">
      <c r="A5" t="s">
        <v>110</v>
      </c>
      <c r="B5">
        <v>1.415157</v>
      </c>
      <c r="C5">
        <v>1.1828019999999999</v>
      </c>
      <c r="D5">
        <v>1.6931569</v>
      </c>
      <c r="E5" s="1">
        <v>1.478784E-4</v>
      </c>
      <c r="F5" t="str">
        <f t="shared" si="0"/>
        <v>1.42(1.18-1.69)</v>
      </c>
      <c r="G5" t="str">
        <f t="shared" ref="G4:G14" si="3">IF($E5&lt;0.001,"&lt;0.001",ROUND($E5,3))</f>
        <v>&lt;0.001</v>
      </c>
      <c r="I5" t="s">
        <v>110</v>
      </c>
      <c r="J5">
        <v>1.2130898000000001</v>
      </c>
      <c r="K5">
        <v>0.98799309999999996</v>
      </c>
      <c r="L5">
        <v>1.4894708999999999</v>
      </c>
      <c r="M5" s="1">
        <v>6.5093680000000001E-2</v>
      </c>
      <c r="N5" t="str">
        <f t="shared" si="1"/>
        <v>1.21(0.99-1.49)</v>
      </c>
      <c r="O5">
        <f t="shared" si="2"/>
        <v>6.5000000000000002E-2</v>
      </c>
    </row>
    <row r="6" spans="1:15" x14ac:dyDescent="0.3">
      <c r="A6" t="s">
        <v>108</v>
      </c>
      <c r="B6">
        <v>1.3194032</v>
      </c>
      <c r="C6" s="1">
        <v>1.1505962000000001</v>
      </c>
      <c r="D6">
        <v>1.5129764000000001</v>
      </c>
      <c r="E6" s="1">
        <v>7.2377020000000003E-5</v>
      </c>
      <c r="F6" t="str">
        <f t="shared" si="0"/>
        <v>1.32(1.15-1.51)</v>
      </c>
      <c r="G6" t="str">
        <f t="shared" si="3"/>
        <v>&lt;0.001</v>
      </c>
      <c r="I6" t="s">
        <v>108</v>
      </c>
      <c r="J6">
        <v>1.2956586000000001</v>
      </c>
      <c r="K6" s="1">
        <v>1.1157458</v>
      </c>
      <c r="L6">
        <v>1.5045820000000001</v>
      </c>
      <c r="M6" s="1">
        <v>6.8412400000000004E-4</v>
      </c>
      <c r="N6" t="str">
        <f t="shared" si="1"/>
        <v>1.3(1.12-1.5)</v>
      </c>
      <c r="O6" t="str">
        <f t="shared" si="2"/>
        <v>&lt;0.001</v>
      </c>
    </row>
    <row r="7" spans="1:15" x14ac:dyDescent="0.3">
      <c r="A7" t="s">
        <v>110</v>
      </c>
      <c r="B7">
        <v>1.5524332000000001</v>
      </c>
      <c r="C7" s="1">
        <v>1.3005916</v>
      </c>
      <c r="D7">
        <v>1.8530405999999999</v>
      </c>
      <c r="E7" s="1">
        <v>1.1151130000000001E-6</v>
      </c>
      <c r="F7" t="str">
        <f t="shared" si="0"/>
        <v>1.55(1.3-1.85)</v>
      </c>
      <c r="G7" t="str">
        <f t="shared" si="3"/>
        <v>&lt;0.001</v>
      </c>
      <c r="I7" t="s">
        <v>110</v>
      </c>
      <c r="J7">
        <v>1.3670808000000001</v>
      </c>
      <c r="K7" s="1">
        <v>1.1155766</v>
      </c>
      <c r="L7">
        <v>1.6752859</v>
      </c>
      <c r="M7" s="1">
        <v>2.5752710000000001E-3</v>
      </c>
      <c r="N7" t="str">
        <f t="shared" si="1"/>
        <v>1.37(1.12-1.68)</v>
      </c>
      <c r="O7">
        <f t="shared" si="2"/>
        <v>3.0000000000000001E-3</v>
      </c>
    </row>
    <row r="8" spans="1:15" x14ac:dyDescent="0.3">
      <c r="A8" t="s">
        <v>116</v>
      </c>
      <c r="B8">
        <v>1.1766177</v>
      </c>
      <c r="C8">
        <v>0.96781969999999995</v>
      </c>
      <c r="D8">
        <v>1.4304619000000001</v>
      </c>
      <c r="E8" s="1">
        <v>0.1027231</v>
      </c>
      <c r="F8" t="str">
        <f t="shared" si="0"/>
        <v>1.18(0.97-1.43)</v>
      </c>
      <c r="G8">
        <f t="shared" si="3"/>
        <v>0.10299999999999999</v>
      </c>
      <c r="I8" t="s">
        <v>116</v>
      </c>
      <c r="J8">
        <v>1.0551242000000001</v>
      </c>
      <c r="K8">
        <v>0.84473799999999999</v>
      </c>
      <c r="L8">
        <v>1.3179082</v>
      </c>
      <c r="M8" s="1">
        <v>0.63627869999999997</v>
      </c>
      <c r="N8" t="str">
        <f t="shared" si="1"/>
        <v>1.06(0.84-1.32)</v>
      </c>
      <c r="O8">
        <f>IF($M8&lt;0.001,"&lt;0.001",ROUND($M8,3))</f>
        <v>0.63600000000000001</v>
      </c>
    </row>
    <row r="9" spans="1:15" x14ac:dyDescent="0.3">
      <c r="A9" t="s">
        <v>59</v>
      </c>
      <c r="B9">
        <v>1.0621537000000001</v>
      </c>
      <c r="C9">
        <v>1.0567979000000001</v>
      </c>
      <c r="D9">
        <v>1.0675367</v>
      </c>
      <c r="E9" s="1">
        <v>7.04026E-121</v>
      </c>
      <c r="F9" t="str">
        <f t="shared" si="0"/>
        <v>1.06(1.06-1.07)</v>
      </c>
      <c r="G9" t="str">
        <f t="shared" si="3"/>
        <v>&lt;0.001</v>
      </c>
      <c r="I9" t="s">
        <v>59</v>
      </c>
      <c r="J9">
        <v>1.0570739</v>
      </c>
      <c r="K9">
        <v>1.0513307999999999</v>
      </c>
      <c r="L9">
        <v>1.0628485000000001</v>
      </c>
      <c r="M9" s="1">
        <v>1.0295259999999999E-88</v>
      </c>
      <c r="N9" t="str">
        <f t="shared" si="1"/>
        <v>1.06(1.05-1.06)</v>
      </c>
      <c r="O9" t="str">
        <f t="shared" si="2"/>
        <v>&lt;0.001</v>
      </c>
    </row>
    <row r="10" spans="1:15" x14ac:dyDescent="0.3">
      <c r="A10" t="s">
        <v>60</v>
      </c>
      <c r="B10">
        <v>2.0396931</v>
      </c>
      <c r="C10">
        <v>1.8100020000000001</v>
      </c>
      <c r="D10">
        <v>2.2985323000000002</v>
      </c>
      <c r="E10" s="1">
        <v>1.372969E-31</v>
      </c>
      <c r="F10" t="str">
        <f t="shared" si="0"/>
        <v>2.04(1.81-2.3)</v>
      </c>
      <c r="G10" t="str">
        <f t="shared" si="3"/>
        <v>&lt;0.001</v>
      </c>
      <c r="I10" t="s">
        <v>60</v>
      </c>
      <c r="J10">
        <v>2.0087351</v>
      </c>
      <c r="K10">
        <v>1.7661992</v>
      </c>
      <c r="L10">
        <v>2.2845762000000001</v>
      </c>
      <c r="M10" s="1">
        <v>2.2973099999999999E-26</v>
      </c>
      <c r="N10" t="str">
        <f t="shared" si="1"/>
        <v>2.01(1.77-2.28)</v>
      </c>
      <c r="O10" t="str">
        <f t="shared" si="2"/>
        <v>&lt;0.001</v>
      </c>
    </row>
    <row r="11" spans="1:15" x14ac:dyDescent="0.3">
      <c r="A11" t="s">
        <v>21</v>
      </c>
      <c r="B11">
        <v>0.5764205</v>
      </c>
      <c r="C11">
        <v>0.49464049999999998</v>
      </c>
      <c r="D11">
        <v>0.67172140000000002</v>
      </c>
      <c r="E11" s="1">
        <v>1.700228E-12</v>
      </c>
      <c r="F11" t="str">
        <f t="shared" si="0"/>
        <v>0.58(0.49-0.67)</v>
      </c>
      <c r="G11" t="str">
        <f t="shared" si="3"/>
        <v>&lt;0.001</v>
      </c>
      <c r="I11" t="s">
        <v>21</v>
      </c>
      <c r="J11">
        <v>0.53849659999999999</v>
      </c>
      <c r="K11">
        <v>0.4587135</v>
      </c>
      <c r="L11">
        <v>0.6321563</v>
      </c>
      <c r="M11" s="1">
        <v>3.864207E-14</v>
      </c>
      <c r="N11" t="str">
        <f t="shared" si="1"/>
        <v>0.54(0.46-0.63)</v>
      </c>
      <c r="O11" t="str">
        <f t="shared" si="2"/>
        <v>&lt;0.001</v>
      </c>
    </row>
    <row r="12" spans="1:15" x14ac:dyDescent="0.3">
      <c r="A12" t="s">
        <v>22</v>
      </c>
      <c r="B12">
        <v>2.3340960000000002</v>
      </c>
      <c r="C12">
        <v>2.0754079000000001</v>
      </c>
      <c r="D12">
        <v>2.6250281000000002</v>
      </c>
      <c r="E12" s="1">
        <v>2.068284E-45</v>
      </c>
      <c r="F12" t="str">
        <f t="shared" si="0"/>
        <v>2.33(2.08-2.63)</v>
      </c>
      <c r="G12" t="str">
        <f t="shared" si="3"/>
        <v>&lt;0.001</v>
      </c>
      <c r="I12" t="s">
        <v>22</v>
      </c>
      <c r="J12">
        <v>2.7651678</v>
      </c>
      <c r="K12">
        <v>2.4144266000000001</v>
      </c>
      <c r="L12">
        <v>3.1668607</v>
      </c>
      <c r="M12" s="1">
        <v>6.7463609999999999E-49</v>
      </c>
      <c r="N12" t="str">
        <f t="shared" si="1"/>
        <v>2.77(2.41-3.17)</v>
      </c>
      <c r="O12" t="str">
        <f t="shared" si="2"/>
        <v>&lt;0.001</v>
      </c>
    </row>
    <row r="13" spans="1:15" x14ac:dyDescent="0.3">
      <c r="A13" t="s">
        <v>23</v>
      </c>
      <c r="B13">
        <v>8.1982882999999998</v>
      </c>
      <c r="C13">
        <v>7.2897258999999996</v>
      </c>
      <c r="D13">
        <v>9.2200903000000007</v>
      </c>
      <c r="E13" s="1">
        <v>5.3195879999999996E-270</v>
      </c>
      <c r="F13" t="str">
        <f t="shared" si="0"/>
        <v>8.2(7.29-9.22)</v>
      </c>
      <c r="G13" t="str">
        <f t="shared" si="3"/>
        <v>&lt;0.001</v>
      </c>
      <c r="I13" t="s">
        <v>23</v>
      </c>
      <c r="J13">
        <v>10.742013999999999</v>
      </c>
      <c r="K13">
        <v>9.4021519999999992</v>
      </c>
      <c r="L13">
        <v>12.2728143</v>
      </c>
      <c r="M13" s="1">
        <v>2.7761189999999999E-267</v>
      </c>
      <c r="N13" t="str">
        <f t="shared" si="1"/>
        <v>10.74(9.4-12.27)</v>
      </c>
      <c r="O13" t="str">
        <f t="shared" si="2"/>
        <v>&lt;0.001</v>
      </c>
    </row>
    <row r="14" spans="1:15" x14ac:dyDescent="0.3">
      <c r="A14" t="s">
        <v>24</v>
      </c>
      <c r="B14">
        <v>3.6590104000000001</v>
      </c>
      <c r="C14">
        <v>3.0601509999999998</v>
      </c>
      <c r="D14">
        <v>4.3750641999999997</v>
      </c>
      <c r="E14" s="1">
        <v>6.3907339999999999E-46</v>
      </c>
      <c r="F14" t="str">
        <f t="shared" si="0"/>
        <v>3.66(3.06-4.38)</v>
      </c>
      <c r="G14" t="str">
        <f t="shared" si="3"/>
        <v>&lt;0.001</v>
      </c>
      <c r="I14" t="s">
        <v>24</v>
      </c>
      <c r="J14">
        <v>4.1909188999999998</v>
      </c>
      <c r="K14">
        <v>3.4192695999999998</v>
      </c>
      <c r="L14">
        <v>5.1367113</v>
      </c>
      <c r="M14" s="1">
        <v>2.5024510000000001E-43</v>
      </c>
      <c r="N14" t="str">
        <f t="shared" si="1"/>
        <v>4.19(3.42-5.14)</v>
      </c>
      <c r="O14" t="str">
        <f t="shared" si="2"/>
        <v>&lt;0.001</v>
      </c>
    </row>
    <row r="16" spans="1:15" x14ac:dyDescent="0.3">
      <c r="O16" s="1"/>
    </row>
    <row r="17" spans="1:15" x14ac:dyDescent="0.3">
      <c r="A17" t="s">
        <v>131</v>
      </c>
      <c r="I17" t="s">
        <v>132</v>
      </c>
    </row>
    <row r="19" spans="1:15" x14ac:dyDescent="0.3">
      <c r="B19" t="s">
        <v>88</v>
      </c>
      <c r="C19" t="s">
        <v>2</v>
      </c>
      <c r="D19" t="s">
        <v>117</v>
      </c>
      <c r="E19" t="s">
        <v>1</v>
      </c>
      <c r="F19" t="s">
        <v>118</v>
      </c>
      <c r="G19" t="s">
        <v>119</v>
      </c>
      <c r="J19" t="s">
        <v>88</v>
      </c>
      <c r="K19" t="s">
        <v>2</v>
      </c>
      <c r="L19" t="s">
        <v>117</v>
      </c>
      <c r="M19" t="s">
        <v>1</v>
      </c>
      <c r="N19" t="s">
        <v>118</v>
      </c>
      <c r="O19" t="s">
        <v>119</v>
      </c>
    </row>
    <row r="20" spans="1:15" x14ac:dyDescent="0.3">
      <c r="A20" t="s">
        <v>40</v>
      </c>
      <c r="B20">
        <v>0.70551600000000003</v>
      </c>
      <c r="C20">
        <v>9.9153920000000006E-2</v>
      </c>
      <c r="D20">
        <v>5.0200009000000003</v>
      </c>
      <c r="E20" s="1">
        <v>0.72752589999999995</v>
      </c>
      <c r="F20" t="str">
        <f>ROUND($B20,2)&amp;"("&amp;ROUND($C20,2)&amp;"-"&amp;ROUND($D20,2)&amp;")"</f>
        <v>0.71(0.1-5.02)</v>
      </c>
      <c r="G20">
        <f>IF($E20&lt;0.001,"&lt;0.001",ROUND($E20,3))</f>
        <v>0.72799999999999998</v>
      </c>
      <c r="I20" t="s">
        <v>40</v>
      </c>
      <c r="J20">
        <v>0.89780009999999999</v>
      </c>
      <c r="K20">
        <v>0.12613050000000001</v>
      </c>
      <c r="L20">
        <v>6.3905621999999997</v>
      </c>
      <c r="M20" s="1">
        <v>0.91426430000000003</v>
      </c>
      <c r="N20" t="str">
        <f>ROUND($J20,2)&amp;"("&amp;ROUND($K20,2)&amp;"-"&amp;ROUND($L20,2)&amp;")"</f>
        <v>0.9(0.13-6.39)</v>
      </c>
      <c r="O20">
        <f>IF($M20&lt;0.001,"&lt;0.001",ROUND($M20,3))</f>
        <v>0.91400000000000003</v>
      </c>
    </row>
    <row r="21" spans="1:15" x14ac:dyDescent="0.3">
      <c r="A21" t="s">
        <v>41</v>
      </c>
      <c r="B21">
        <v>0.91072120000000001</v>
      </c>
      <c r="C21">
        <v>0.81452818999999999</v>
      </c>
      <c r="D21">
        <v>1.0182743000000001</v>
      </c>
      <c r="E21" s="1">
        <v>0.1005899</v>
      </c>
      <c r="F21" t="str">
        <f t="shared" ref="F21:F53" si="4">ROUND($B21,2)&amp;"("&amp;ROUND($C21,2)&amp;"-"&amp;ROUND($D21,2)&amp;")"</f>
        <v>0.91(0.81-1.02)</v>
      </c>
      <c r="G21">
        <f t="shared" ref="G21:G54" si="5">IF($E21&lt;0.001,"&lt;0.001",ROUND($E21,3))</f>
        <v>0.10100000000000001</v>
      </c>
      <c r="I21" t="s">
        <v>41</v>
      </c>
      <c r="J21">
        <v>0.88632330000000004</v>
      </c>
      <c r="K21">
        <v>0.78520460000000003</v>
      </c>
      <c r="L21">
        <v>1.0004641000000001</v>
      </c>
      <c r="M21" s="1">
        <v>5.0883930000000001E-2</v>
      </c>
      <c r="N21" t="str">
        <f t="shared" ref="N21:N53" si="6">ROUND($J21,2)&amp;"("&amp;ROUND($K21,2)&amp;"-"&amp;ROUND($L21,2)&amp;")"</f>
        <v>0.89(0.79-1)</v>
      </c>
      <c r="O21">
        <f t="shared" ref="O21:O53" si="7">IF($M21&lt;0.001,"&lt;0.001",ROUND($M21,3))</f>
        <v>5.0999999999999997E-2</v>
      </c>
    </row>
    <row r="22" spans="1:15" x14ac:dyDescent="0.3">
      <c r="A22" t="s">
        <v>42</v>
      </c>
      <c r="B22">
        <v>1.068676</v>
      </c>
      <c r="C22">
        <v>0.26651477000000001</v>
      </c>
      <c r="D22">
        <v>4.2851970000000001</v>
      </c>
      <c r="E22" s="1">
        <v>0.92531529999999995</v>
      </c>
      <c r="F22" t="str">
        <f t="shared" si="4"/>
        <v>1.07(0.27-4.29)</v>
      </c>
      <c r="G22">
        <f t="shared" si="5"/>
        <v>0.92500000000000004</v>
      </c>
      <c r="I22" t="s">
        <v>42</v>
      </c>
      <c r="J22">
        <v>1.2197216</v>
      </c>
      <c r="K22">
        <v>0.30404399999999998</v>
      </c>
      <c r="L22">
        <v>4.8931103</v>
      </c>
      <c r="M22" s="1">
        <v>0.77930319999999997</v>
      </c>
      <c r="N22" t="str">
        <f t="shared" si="6"/>
        <v>1.22(0.3-4.89)</v>
      </c>
      <c r="O22">
        <f t="shared" si="7"/>
        <v>0.77900000000000003</v>
      </c>
    </row>
    <row r="23" spans="1:15" x14ac:dyDescent="0.3">
      <c r="A23" t="s">
        <v>43</v>
      </c>
      <c r="B23">
        <v>1.1920696</v>
      </c>
      <c r="C23">
        <v>1.03566566</v>
      </c>
      <c r="D23">
        <v>1.3720934</v>
      </c>
      <c r="E23" s="1">
        <v>1.435239E-2</v>
      </c>
      <c r="F23" t="str">
        <f t="shared" si="4"/>
        <v>1.19(1.04-1.37)</v>
      </c>
      <c r="G23">
        <f t="shared" si="5"/>
        <v>1.4E-2</v>
      </c>
      <c r="I23" t="s">
        <v>43</v>
      </c>
      <c r="J23">
        <v>1.1408320999999999</v>
      </c>
      <c r="K23">
        <v>0.97912790000000005</v>
      </c>
      <c r="L23">
        <v>1.3292419</v>
      </c>
      <c r="M23" s="1">
        <v>9.1124730000000001E-2</v>
      </c>
      <c r="N23" t="str">
        <f t="shared" si="6"/>
        <v>1.14(0.98-1.33)</v>
      </c>
      <c r="O23">
        <f t="shared" si="7"/>
        <v>9.0999999999999998E-2</v>
      </c>
    </row>
    <row r="24" spans="1:15" x14ac:dyDescent="0.3">
      <c r="A24" t="s">
        <v>44</v>
      </c>
      <c r="B24">
        <v>2.4900060000000002</v>
      </c>
      <c r="C24">
        <v>1.0311368700000001</v>
      </c>
      <c r="D24">
        <v>6.0129068999999999</v>
      </c>
      <c r="E24" s="1">
        <v>4.254703E-2</v>
      </c>
      <c r="F24" t="str">
        <f t="shared" si="4"/>
        <v>2.49(1.03-6.01)</v>
      </c>
      <c r="G24">
        <f t="shared" si="5"/>
        <v>4.2999999999999997E-2</v>
      </c>
      <c r="I24" t="s">
        <v>44</v>
      </c>
      <c r="J24">
        <v>2.2406446</v>
      </c>
      <c r="K24">
        <v>0.83654580000000001</v>
      </c>
      <c r="L24">
        <v>6.0014507000000004</v>
      </c>
      <c r="M24" s="1">
        <v>0.10851139999999999</v>
      </c>
      <c r="N24" t="str">
        <f t="shared" si="6"/>
        <v>2.24(0.84-6)</v>
      </c>
      <c r="O24">
        <f t="shared" si="7"/>
        <v>0.109</v>
      </c>
    </row>
    <row r="25" spans="1:15" x14ac:dyDescent="0.3">
      <c r="A25" t="s">
        <v>45</v>
      </c>
      <c r="B25">
        <v>1.4229285</v>
      </c>
      <c r="C25">
        <v>1.1876158999999999</v>
      </c>
      <c r="D25">
        <v>1.7048657</v>
      </c>
      <c r="E25" s="1">
        <v>1.3115300000000001E-4</v>
      </c>
      <c r="F25" t="str">
        <f t="shared" si="4"/>
        <v>1.42(1.19-1.7)</v>
      </c>
      <c r="G25" t="str">
        <f t="shared" si="5"/>
        <v>&lt;0.001</v>
      </c>
      <c r="I25" t="s">
        <v>45</v>
      </c>
      <c r="J25">
        <v>1.21173</v>
      </c>
      <c r="K25">
        <v>0.98464459999999998</v>
      </c>
      <c r="L25">
        <v>1.4911873</v>
      </c>
      <c r="M25" s="1">
        <v>6.9706309999999994E-2</v>
      </c>
      <c r="N25" t="str">
        <f t="shared" si="6"/>
        <v>1.21(0.98-1.49)</v>
      </c>
      <c r="O25">
        <f t="shared" si="7"/>
        <v>7.0000000000000007E-2</v>
      </c>
    </row>
    <row r="26" spans="1:15" x14ac:dyDescent="0.3">
      <c r="A26" t="s">
        <v>46</v>
      </c>
      <c r="B26">
        <v>1.0961133000000001</v>
      </c>
      <c r="C26">
        <v>0.35234747</v>
      </c>
      <c r="D26">
        <v>3.4098853</v>
      </c>
      <c r="E26" s="1">
        <v>0.87407380000000001</v>
      </c>
      <c r="F26" t="str">
        <f t="shared" si="4"/>
        <v>1.1(0.35-3.41)</v>
      </c>
      <c r="G26">
        <f t="shared" si="5"/>
        <v>0.874</v>
      </c>
      <c r="I26" t="s">
        <v>46</v>
      </c>
      <c r="J26">
        <v>1.2574327000000001</v>
      </c>
      <c r="K26">
        <v>0.40398309999999998</v>
      </c>
      <c r="L26">
        <v>3.913869</v>
      </c>
      <c r="M26" s="1">
        <v>0.6925384</v>
      </c>
      <c r="N26" t="str">
        <f t="shared" si="6"/>
        <v>1.26(0.4-3.91)</v>
      </c>
      <c r="O26">
        <f t="shared" si="7"/>
        <v>0.69299999999999995</v>
      </c>
    </row>
    <row r="27" spans="1:15" x14ac:dyDescent="0.3">
      <c r="A27" t="s">
        <v>41</v>
      </c>
      <c r="B27">
        <v>1.2908584000000001</v>
      </c>
      <c r="C27">
        <v>0.18119959999999999</v>
      </c>
      <c r="D27">
        <v>9.1960198000000002</v>
      </c>
      <c r="E27" s="1">
        <v>0.79883709999999997</v>
      </c>
      <c r="F27" t="str">
        <f t="shared" si="4"/>
        <v>1.29(0.18-9.2)</v>
      </c>
      <c r="G27">
        <f t="shared" si="5"/>
        <v>0.79900000000000004</v>
      </c>
      <c r="I27" t="s">
        <v>41</v>
      </c>
      <c r="J27">
        <v>0.98721680000000001</v>
      </c>
      <c r="K27">
        <v>0.13850879999999999</v>
      </c>
      <c r="L27">
        <v>7.0363556999999997</v>
      </c>
      <c r="M27" s="1">
        <v>0.98975579999999996</v>
      </c>
      <c r="N27" t="str">
        <f t="shared" si="6"/>
        <v>0.99(0.14-7.04)</v>
      </c>
      <c r="O27">
        <f t="shared" si="7"/>
        <v>0.99</v>
      </c>
    </row>
    <row r="28" spans="1:15" x14ac:dyDescent="0.3">
      <c r="A28" t="s">
        <v>42</v>
      </c>
      <c r="B28">
        <v>1.5147439</v>
      </c>
      <c r="C28">
        <v>0.13709759999999999</v>
      </c>
      <c r="D28">
        <v>16.7358762</v>
      </c>
      <c r="E28" s="1">
        <v>0.73477110000000001</v>
      </c>
      <c r="F28" t="str">
        <f t="shared" si="4"/>
        <v>1.51(0.14-16.74)</v>
      </c>
      <c r="G28">
        <f t="shared" si="5"/>
        <v>0.73499999999999999</v>
      </c>
      <c r="I28" t="s">
        <v>42</v>
      </c>
      <c r="J28">
        <v>1.3585670000000001</v>
      </c>
      <c r="K28">
        <v>0.12293220000000001</v>
      </c>
      <c r="L28">
        <v>15.0140078</v>
      </c>
      <c r="M28" s="1">
        <v>0.80260200000000004</v>
      </c>
      <c r="N28" t="str">
        <f t="shared" si="6"/>
        <v>1.36(0.12-15.01)</v>
      </c>
      <c r="O28">
        <f t="shared" si="7"/>
        <v>0.80300000000000005</v>
      </c>
    </row>
    <row r="29" spans="1:15" x14ac:dyDescent="0.3">
      <c r="A29" t="s">
        <v>43</v>
      </c>
      <c r="B29">
        <v>1.6896423</v>
      </c>
      <c r="C29">
        <v>0.236734</v>
      </c>
      <c r="D29">
        <v>12.0594892</v>
      </c>
      <c r="E29" s="1">
        <v>0.60091620000000001</v>
      </c>
      <c r="F29" t="str">
        <f t="shared" si="4"/>
        <v>1.69(0.24-12.06)</v>
      </c>
      <c r="G29">
        <f t="shared" si="5"/>
        <v>0.60099999999999998</v>
      </c>
      <c r="I29" t="s">
        <v>43</v>
      </c>
      <c r="J29">
        <v>1.2706972000000001</v>
      </c>
      <c r="K29">
        <v>0.1778902</v>
      </c>
      <c r="L29">
        <v>9.0767869000000001</v>
      </c>
      <c r="M29" s="1">
        <v>0.81125179999999997</v>
      </c>
      <c r="N29" t="str">
        <f t="shared" si="6"/>
        <v>1.27(0.18-9.08)</v>
      </c>
      <c r="O29">
        <f t="shared" si="7"/>
        <v>0.81100000000000005</v>
      </c>
    </row>
    <row r="30" spans="1:15" x14ac:dyDescent="0.3">
      <c r="A30" t="s">
        <v>44</v>
      </c>
      <c r="B30">
        <v>3.5293405</v>
      </c>
      <c r="C30">
        <v>0.41127760000000002</v>
      </c>
      <c r="D30">
        <v>30.286709200000001</v>
      </c>
      <c r="E30" s="1">
        <v>0.25020239999999999</v>
      </c>
      <c r="F30" t="str">
        <f t="shared" si="4"/>
        <v>3.53(0.41-30.29)</v>
      </c>
      <c r="G30">
        <f t="shared" si="5"/>
        <v>0.25</v>
      </c>
      <c r="I30" t="s">
        <v>44</v>
      </c>
      <c r="J30">
        <v>2.4957053999999999</v>
      </c>
      <c r="K30">
        <v>0.27818809999999999</v>
      </c>
      <c r="L30">
        <v>22.389690600000002</v>
      </c>
      <c r="M30" s="1">
        <v>0.41392709999999999</v>
      </c>
      <c r="N30" t="str">
        <f t="shared" si="6"/>
        <v>2.5(0.28-22.39)</v>
      </c>
      <c r="O30">
        <f t="shared" si="7"/>
        <v>0.41399999999999998</v>
      </c>
    </row>
    <row r="31" spans="1:15" x14ac:dyDescent="0.3">
      <c r="A31" t="s">
        <v>45</v>
      </c>
      <c r="B31">
        <v>2.0168623000000001</v>
      </c>
      <c r="C31">
        <v>0.28166049999999998</v>
      </c>
      <c r="D31">
        <v>14.4419729</v>
      </c>
      <c r="E31" s="1">
        <v>0.48488520000000002</v>
      </c>
      <c r="F31" t="str">
        <f t="shared" si="4"/>
        <v>2.02(0.28-14.44)</v>
      </c>
      <c r="G31">
        <f t="shared" si="5"/>
        <v>0.48499999999999999</v>
      </c>
      <c r="I31" t="s">
        <v>45</v>
      </c>
      <c r="J31">
        <v>1.3496657000000001</v>
      </c>
      <c r="K31">
        <v>0.18800339999999999</v>
      </c>
      <c r="L31">
        <v>9.6891706000000006</v>
      </c>
      <c r="M31" s="1">
        <v>0.76558490000000001</v>
      </c>
      <c r="N31" t="str">
        <f t="shared" si="6"/>
        <v>1.35(0.19-9.69)</v>
      </c>
      <c r="O31">
        <f t="shared" si="7"/>
        <v>0.76600000000000001</v>
      </c>
    </row>
    <row r="32" spans="1:15" x14ac:dyDescent="0.3">
      <c r="A32" t="s">
        <v>46</v>
      </c>
      <c r="B32">
        <v>1.5536337</v>
      </c>
      <c r="C32">
        <v>0.1612392</v>
      </c>
      <c r="D32">
        <v>14.9701652</v>
      </c>
      <c r="E32" s="1">
        <v>0.70306829999999998</v>
      </c>
      <c r="F32" t="str">
        <f t="shared" si="4"/>
        <v>1.55(0.16-14.97)</v>
      </c>
      <c r="G32">
        <f t="shared" si="5"/>
        <v>0.70299999999999996</v>
      </c>
      <c r="I32" t="s">
        <v>46</v>
      </c>
      <c r="J32">
        <v>1.4005707999999999</v>
      </c>
      <c r="K32">
        <v>0.14532100000000001</v>
      </c>
      <c r="L32">
        <v>13.4983801</v>
      </c>
      <c r="M32" s="1">
        <v>0.77072839999999998</v>
      </c>
      <c r="N32" t="str">
        <f t="shared" si="6"/>
        <v>1.4(0.15-13.5)</v>
      </c>
      <c r="O32">
        <f t="shared" si="7"/>
        <v>0.77100000000000002</v>
      </c>
    </row>
    <row r="33" spans="1:15" x14ac:dyDescent="0.3">
      <c r="A33" t="s">
        <v>42</v>
      </c>
      <c r="B33">
        <v>1.1734392</v>
      </c>
      <c r="C33">
        <v>0.2927321</v>
      </c>
      <c r="D33">
        <v>4.7038224</v>
      </c>
      <c r="E33" s="1">
        <v>0.82137629999999995</v>
      </c>
      <c r="F33" t="str">
        <f t="shared" si="4"/>
        <v>1.17(0.29-4.7)</v>
      </c>
      <c r="G33">
        <f t="shared" si="5"/>
        <v>0.82099999999999995</v>
      </c>
      <c r="I33" t="s">
        <v>42</v>
      </c>
      <c r="J33" s="1">
        <v>1.3761588</v>
      </c>
      <c r="K33">
        <v>0.34314319999999998</v>
      </c>
      <c r="L33">
        <v>5.5190162999999997</v>
      </c>
      <c r="M33" s="1">
        <v>0.65229400000000004</v>
      </c>
      <c r="N33" t="str">
        <f t="shared" si="6"/>
        <v>1.38(0.34-5.52)</v>
      </c>
      <c r="O33">
        <f t="shared" si="7"/>
        <v>0.65200000000000002</v>
      </c>
    </row>
    <row r="34" spans="1:15" x14ac:dyDescent="0.3">
      <c r="A34" t="s">
        <v>43</v>
      </c>
      <c r="B34">
        <v>1.3089293</v>
      </c>
      <c r="C34">
        <v>1.1405452</v>
      </c>
      <c r="D34">
        <v>1.5021727</v>
      </c>
      <c r="E34" s="1">
        <v>1.2724559999999999E-4</v>
      </c>
      <c r="F34" t="str">
        <f t="shared" si="4"/>
        <v>1.31(1.14-1.5)</v>
      </c>
      <c r="G34" t="str">
        <f t="shared" si="5"/>
        <v>&lt;0.001</v>
      </c>
      <c r="I34" t="s">
        <v>43</v>
      </c>
      <c r="J34" s="1">
        <v>1.2871512000000001</v>
      </c>
      <c r="K34">
        <v>1.1074769</v>
      </c>
      <c r="L34">
        <v>1.4959754000000001</v>
      </c>
      <c r="M34" s="1">
        <v>9.991621999999999E-4</v>
      </c>
      <c r="N34" t="str">
        <f t="shared" si="6"/>
        <v>1.29(1.11-1.5)</v>
      </c>
      <c r="O34" t="str">
        <f t="shared" si="7"/>
        <v>&lt;0.001</v>
      </c>
    </row>
    <row r="35" spans="1:15" x14ac:dyDescent="0.3">
      <c r="A35" t="s">
        <v>44</v>
      </c>
      <c r="B35">
        <v>2.7341034999999998</v>
      </c>
      <c r="C35">
        <v>1.1326718</v>
      </c>
      <c r="D35">
        <v>6.5997250000000003</v>
      </c>
      <c r="E35" s="1">
        <v>2.5283380000000001E-2</v>
      </c>
      <c r="F35" t="str">
        <f t="shared" si="4"/>
        <v>2.73(1.13-6.6)</v>
      </c>
      <c r="G35">
        <f t="shared" si="5"/>
        <v>2.5000000000000001E-2</v>
      </c>
      <c r="I35" t="s">
        <v>44</v>
      </c>
      <c r="J35" s="1">
        <v>2.5280217</v>
      </c>
      <c r="K35">
        <v>0.9441079</v>
      </c>
      <c r="L35">
        <v>6.7692411000000003</v>
      </c>
      <c r="M35" s="1">
        <v>6.4962710000000007E-2</v>
      </c>
      <c r="N35" t="str">
        <f t="shared" si="6"/>
        <v>2.53(0.94-6.77)</v>
      </c>
      <c r="O35">
        <f t="shared" si="7"/>
        <v>6.5000000000000002E-2</v>
      </c>
    </row>
    <row r="36" spans="1:15" x14ac:dyDescent="0.3">
      <c r="A36" t="s">
        <v>45</v>
      </c>
      <c r="B36">
        <v>1.5624195000000001</v>
      </c>
      <c r="C36">
        <v>1.3070063000000001</v>
      </c>
      <c r="D36">
        <v>1.8677451</v>
      </c>
      <c r="E36" s="1">
        <v>9.5908260000000004E-7</v>
      </c>
      <c r="F36" t="str">
        <f t="shared" si="4"/>
        <v>1.56(1.31-1.87)</v>
      </c>
      <c r="G36" t="str">
        <f t="shared" si="5"/>
        <v>&lt;0.001</v>
      </c>
      <c r="I36" t="s">
        <v>45</v>
      </c>
      <c r="J36" s="1">
        <v>1.3671422</v>
      </c>
      <c r="K36">
        <v>1.1129964999999999</v>
      </c>
      <c r="L36">
        <v>1.6793203999999999</v>
      </c>
      <c r="M36" s="1">
        <v>2.8807260000000001E-3</v>
      </c>
      <c r="N36" t="str">
        <f t="shared" si="6"/>
        <v>1.37(1.11-1.68)</v>
      </c>
      <c r="O36">
        <f t="shared" si="7"/>
        <v>3.0000000000000001E-3</v>
      </c>
    </row>
    <row r="37" spans="1:15" x14ac:dyDescent="0.3">
      <c r="A37" t="s">
        <v>46</v>
      </c>
      <c r="B37">
        <v>1.2035663000000001</v>
      </c>
      <c r="C37">
        <v>0.38707589999999997</v>
      </c>
      <c r="D37">
        <v>3.7423457999999998</v>
      </c>
      <c r="E37" s="1">
        <v>0.74887190000000003</v>
      </c>
      <c r="F37" t="str">
        <f t="shared" si="4"/>
        <v>1.2(0.39-3.74)</v>
      </c>
      <c r="G37">
        <f t="shared" si="5"/>
        <v>0.749</v>
      </c>
      <c r="I37" t="s">
        <v>46</v>
      </c>
      <c r="J37" s="1">
        <v>1.4187065000000001</v>
      </c>
      <c r="K37">
        <v>0.45601429999999998</v>
      </c>
      <c r="L37">
        <v>4.4137390999999999</v>
      </c>
      <c r="M37" s="1">
        <v>0.5458655</v>
      </c>
      <c r="N37" t="str">
        <f t="shared" si="6"/>
        <v>1.42(0.46-4.41)</v>
      </c>
      <c r="O37">
        <f t="shared" si="7"/>
        <v>0.54600000000000004</v>
      </c>
    </row>
    <row r="38" spans="1:15" x14ac:dyDescent="0.3">
      <c r="A38" t="s">
        <v>43</v>
      </c>
      <c r="B38">
        <v>1.1154641000000001</v>
      </c>
      <c r="C38">
        <v>0.27745502</v>
      </c>
      <c r="D38">
        <v>4.4845470000000001</v>
      </c>
      <c r="E38" s="1">
        <v>0.87766880000000003</v>
      </c>
      <c r="F38" t="str">
        <f t="shared" si="4"/>
        <v>1.12(0.28-4.48)</v>
      </c>
      <c r="G38">
        <f t="shared" si="5"/>
        <v>0.878</v>
      </c>
      <c r="I38" t="s">
        <v>43</v>
      </c>
      <c r="J38">
        <v>0.93532170000000003</v>
      </c>
      <c r="K38">
        <v>0.23241058000000001</v>
      </c>
      <c r="L38">
        <v>3.7641431000000001</v>
      </c>
      <c r="M38" s="1">
        <v>0.92501310000000003</v>
      </c>
      <c r="N38" t="str">
        <f t="shared" si="6"/>
        <v>0.94(0.23-3.76)</v>
      </c>
      <c r="O38">
        <f t="shared" si="7"/>
        <v>0.92500000000000004</v>
      </c>
    </row>
    <row r="39" spans="1:15" x14ac:dyDescent="0.3">
      <c r="A39" t="s">
        <v>44</v>
      </c>
      <c r="B39">
        <v>2.3299916000000001</v>
      </c>
      <c r="C39">
        <v>0.45133213999999999</v>
      </c>
      <c r="D39">
        <v>12.0285273</v>
      </c>
      <c r="E39" s="1">
        <v>0.31248550000000003</v>
      </c>
      <c r="F39" t="str">
        <f t="shared" si="4"/>
        <v>2.33(0.45-12.03)</v>
      </c>
      <c r="G39">
        <f t="shared" si="5"/>
        <v>0.312</v>
      </c>
      <c r="I39" t="s">
        <v>44</v>
      </c>
      <c r="J39">
        <v>1.8370131000000001</v>
      </c>
      <c r="K39">
        <v>0.33589396999999999</v>
      </c>
      <c r="L39">
        <v>10.046673699999999</v>
      </c>
      <c r="M39" s="1">
        <v>0.48298550000000001</v>
      </c>
      <c r="N39" t="str">
        <f t="shared" si="6"/>
        <v>1.84(0.34-10.05)</v>
      </c>
      <c r="O39">
        <f t="shared" si="7"/>
        <v>0.48299999999999998</v>
      </c>
    </row>
    <row r="40" spans="1:15" x14ac:dyDescent="0.3">
      <c r="A40" t="s">
        <v>45</v>
      </c>
      <c r="B40">
        <v>1.3314874000000001</v>
      </c>
      <c r="C40">
        <v>0.32971062000000001</v>
      </c>
      <c r="D40">
        <v>5.3770138999999997</v>
      </c>
      <c r="E40" s="1">
        <v>0.68768149999999995</v>
      </c>
      <c r="F40" t="str">
        <f t="shared" si="4"/>
        <v>1.33(0.33-5.38)</v>
      </c>
      <c r="G40">
        <f t="shared" si="5"/>
        <v>0.68799999999999994</v>
      </c>
      <c r="I40" t="s">
        <v>45</v>
      </c>
      <c r="J40" s="1">
        <v>0.993448</v>
      </c>
      <c r="K40">
        <v>0.24516331999999999</v>
      </c>
      <c r="L40">
        <v>4.0256385999999997</v>
      </c>
      <c r="M40" s="1">
        <v>0.99265340000000002</v>
      </c>
      <c r="N40" t="str">
        <f t="shared" si="6"/>
        <v>0.99(0.25-4.03)</v>
      </c>
      <c r="O40">
        <f t="shared" si="7"/>
        <v>0.99299999999999999</v>
      </c>
    </row>
    <row r="41" spans="1:15" x14ac:dyDescent="0.3">
      <c r="A41" t="s">
        <v>46</v>
      </c>
      <c r="B41">
        <v>1.0256742000000001</v>
      </c>
      <c r="C41">
        <v>0.17126290999999999</v>
      </c>
      <c r="D41">
        <v>6.1426466</v>
      </c>
      <c r="E41" s="1">
        <v>0.97785460000000002</v>
      </c>
      <c r="F41" t="str">
        <f t="shared" si="4"/>
        <v>1.03(0.17-6.14)</v>
      </c>
      <c r="G41">
        <f t="shared" si="5"/>
        <v>0.97799999999999998</v>
      </c>
      <c r="I41" t="s">
        <v>46</v>
      </c>
      <c r="J41" s="1">
        <v>1.0309177</v>
      </c>
      <c r="K41">
        <v>0.17211945000000001</v>
      </c>
      <c r="L41">
        <v>6.1747313999999998</v>
      </c>
      <c r="M41" s="1">
        <v>0.97340320000000002</v>
      </c>
      <c r="N41" t="str">
        <f t="shared" si="6"/>
        <v>1.03(0.17-6.17)</v>
      </c>
      <c r="O41">
        <f t="shared" si="7"/>
        <v>0.97299999999999998</v>
      </c>
    </row>
    <row r="42" spans="1:15" x14ac:dyDescent="0.3">
      <c r="A42" t="s">
        <v>44</v>
      </c>
      <c r="B42">
        <v>2.0888092</v>
      </c>
      <c r="C42">
        <v>0.86240651000000002</v>
      </c>
      <c r="D42">
        <v>5.0592427999999998</v>
      </c>
      <c r="E42" s="1">
        <v>0.10268099999999999</v>
      </c>
      <c r="F42" t="str">
        <f t="shared" si="4"/>
        <v>2.09(0.86-5.06)</v>
      </c>
      <c r="G42">
        <f t="shared" si="5"/>
        <v>0.10299999999999999</v>
      </c>
      <c r="I42" t="s">
        <v>44</v>
      </c>
      <c r="J42">
        <v>1.9640441</v>
      </c>
      <c r="K42">
        <v>0.73083089999999995</v>
      </c>
      <c r="L42">
        <v>5.2781966000000002</v>
      </c>
      <c r="M42" s="1">
        <v>0.180808</v>
      </c>
      <c r="N42" t="str">
        <f t="shared" si="6"/>
        <v>1.96(0.73-5.28)</v>
      </c>
      <c r="O42">
        <f t="shared" si="7"/>
        <v>0.18099999999999999</v>
      </c>
    </row>
    <row r="43" spans="1:15" x14ac:dyDescent="0.3">
      <c r="A43" t="s">
        <v>45</v>
      </c>
      <c r="B43">
        <v>1.1936623</v>
      </c>
      <c r="C43">
        <v>0.98002270999999996</v>
      </c>
      <c r="D43">
        <v>1.4538740999999999</v>
      </c>
      <c r="E43" s="1">
        <v>7.8508560000000005E-2</v>
      </c>
      <c r="F43" t="str">
        <f t="shared" si="4"/>
        <v>1.19(0.98-1.45)</v>
      </c>
      <c r="G43">
        <f t="shared" si="5"/>
        <v>7.9000000000000001E-2</v>
      </c>
      <c r="I43" t="s">
        <v>45</v>
      </c>
      <c r="J43">
        <v>1.0621457999999999</v>
      </c>
      <c r="K43">
        <v>0.84811029999999998</v>
      </c>
      <c r="L43">
        <v>1.3301969</v>
      </c>
      <c r="M43" s="1">
        <v>0.59950680000000001</v>
      </c>
      <c r="N43" t="str">
        <f t="shared" si="6"/>
        <v>1.06(0.85-1.33)</v>
      </c>
      <c r="O43">
        <f t="shared" si="7"/>
        <v>0.6</v>
      </c>
    </row>
    <row r="44" spans="1:15" x14ac:dyDescent="0.3">
      <c r="A44" t="s">
        <v>46</v>
      </c>
      <c r="B44">
        <v>0.91950449999999995</v>
      </c>
      <c r="C44">
        <v>0.29483965000000001</v>
      </c>
      <c r="D44">
        <v>2.8676213000000002</v>
      </c>
      <c r="E44" s="1">
        <v>0.88501810000000003</v>
      </c>
      <c r="F44" t="str">
        <f t="shared" si="4"/>
        <v>0.92(0.29-2.87)</v>
      </c>
      <c r="G44">
        <f t="shared" si="5"/>
        <v>0.88500000000000001</v>
      </c>
      <c r="I44" t="s">
        <v>46</v>
      </c>
      <c r="J44">
        <v>1.1022065999999999</v>
      </c>
      <c r="K44">
        <v>0.35303980000000001</v>
      </c>
      <c r="L44">
        <v>3.4411396999999999</v>
      </c>
      <c r="M44" s="1">
        <v>0.86695219999999995</v>
      </c>
      <c r="N44" t="str">
        <f t="shared" si="6"/>
        <v>1.1(0.35-3.44)</v>
      </c>
      <c r="O44">
        <f t="shared" si="7"/>
        <v>0.86699999999999999</v>
      </c>
    </row>
    <row r="45" spans="1:15" x14ac:dyDescent="0.3">
      <c r="A45" t="s">
        <v>45</v>
      </c>
      <c r="B45">
        <v>0.57145590000000002</v>
      </c>
      <c r="C45">
        <v>0.23412413000000001</v>
      </c>
      <c r="D45">
        <v>1.3948233000000001</v>
      </c>
      <c r="E45" s="1">
        <v>0.21904970000000001</v>
      </c>
      <c r="F45" t="str">
        <f t="shared" si="4"/>
        <v>0.57(0.23-1.39)</v>
      </c>
      <c r="G45">
        <f t="shared" si="5"/>
        <v>0.219</v>
      </c>
      <c r="I45" t="s">
        <v>45</v>
      </c>
      <c r="J45">
        <v>0.54079529999999998</v>
      </c>
      <c r="K45">
        <v>0.19915245000000001</v>
      </c>
      <c r="L45">
        <v>1.4685208000000001</v>
      </c>
      <c r="M45" s="1">
        <v>0.2277942</v>
      </c>
      <c r="N45" t="str">
        <f t="shared" si="6"/>
        <v>0.54(0.2-1.47)</v>
      </c>
      <c r="O45">
        <f t="shared" si="7"/>
        <v>0.22800000000000001</v>
      </c>
    </row>
    <row r="46" spans="1:15" x14ac:dyDescent="0.3">
      <c r="A46" t="s">
        <v>46</v>
      </c>
      <c r="B46">
        <v>0.44020510000000002</v>
      </c>
      <c r="C46">
        <v>0.10515944000000001</v>
      </c>
      <c r="D46">
        <v>1.8427306999999999</v>
      </c>
      <c r="E46" s="1">
        <v>0.26134580000000002</v>
      </c>
      <c r="F46" t="str">
        <f t="shared" si="4"/>
        <v>0.44(0.11-1.84)</v>
      </c>
      <c r="G46">
        <f t="shared" si="5"/>
        <v>0.26100000000000001</v>
      </c>
      <c r="I46" t="s">
        <v>46</v>
      </c>
      <c r="J46">
        <v>0.56119240000000004</v>
      </c>
      <c r="K46">
        <v>0.12554736999999999</v>
      </c>
      <c r="L46">
        <v>2.5085104</v>
      </c>
      <c r="M46" s="1">
        <v>0.44955519999999999</v>
      </c>
      <c r="N46" t="str">
        <f t="shared" si="6"/>
        <v>0.56(0.13-2.51)</v>
      </c>
      <c r="O46">
        <f t="shared" si="7"/>
        <v>0.45</v>
      </c>
    </row>
    <row r="47" spans="1:15" x14ac:dyDescent="0.3">
      <c r="A47" t="s">
        <v>46</v>
      </c>
      <c r="B47">
        <v>0.77032210000000001</v>
      </c>
      <c r="C47">
        <v>0.24557719</v>
      </c>
      <c r="D47">
        <v>2.4163326999999999</v>
      </c>
      <c r="E47" s="1">
        <v>0.65459940000000005</v>
      </c>
      <c r="F47" t="str">
        <f t="shared" si="4"/>
        <v>0.77(0.25-2.42)</v>
      </c>
      <c r="G47">
        <f t="shared" si="5"/>
        <v>0.65500000000000003</v>
      </c>
      <c r="I47" t="s">
        <v>46</v>
      </c>
      <c r="J47">
        <v>1.0377168999999999</v>
      </c>
      <c r="K47">
        <v>0.32947149999999997</v>
      </c>
      <c r="L47">
        <v>3.2684354</v>
      </c>
      <c r="M47" s="1">
        <v>0.949569</v>
      </c>
      <c r="N47" t="str">
        <f t="shared" si="6"/>
        <v>1.04(0.33-3.27)</v>
      </c>
      <c r="O47">
        <f t="shared" si="7"/>
        <v>0.95</v>
      </c>
    </row>
    <row r="48" spans="1:15" x14ac:dyDescent="0.3">
      <c r="A48" t="s">
        <v>59</v>
      </c>
      <c r="B48">
        <v>1.0622381000000001</v>
      </c>
      <c r="C48">
        <v>1.05687708</v>
      </c>
      <c r="D48">
        <v>1.0676264</v>
      </c>
      <c r="E48" s="1">
        <v>5.6061940000000001E-121</v>
      </c>
      <c r="F48" t="str">
        <f t="shared" si="4"/>
        <v>1.06(1.06-1.07)</v>
      </c>
      <c r="G48" t="str">
        <f t="shared" si="5"/>
        <v>&lt;0.001</v>
      </c>
      <c r="I48" t="s">
        <v>59</v>
      </c>
      <c r="J48">
        <v>1.0571546000000001</v>
      </c>
      <c r="K48">
        <v>1.0514074</v>
      </c>
      <c r="L48">
        <v>1.0629331</v>
      </c>
      <c r="M48" s="1">
        <v>7.6148049999999994E-89</v>
      </c>
      <c r="N48" t="str">
        <f t="shared" si="6"/>
        <v>1.06(1.05-1.06)</v>
      </c>
      <c r="O48" t="str">
        <f t="shared" si="7"/>
        <v>&lt;0.001</v>
      </c>
    </row>
    <row r="49" spans="1:15" x14ac:dyDescent="0.3">
      <c r="A49" t="s">
        <v>60</v>
      </c>
      <c r="B49">
        <v>2.0398291</v>
      </c>
      <c r="C49">
        <v>1.81014078</v>
      </c>
      <c r="D49">
        <v>2.2986626000000001</v>
      </c>
      <c r="E49" s="1">
        <v>1.339882E-31</v>
      </c>
      <c r="F49" t="str">
        <f t="shared" si="4"/>
        <v>2.04(1.81-2.3)</v>
      </c>
      <c r="G49" t="str">
        <f t="shared" si="5"/>
        <v>&lt;0.001</v>
      </c>
      <c r="I49" t="s">
        <v>60</v>
      </c>
      <c r="J49">
        <v>2.0086162999999999</v>
      </c>
      <c r="K49">
        <v>1.7661076</v>
      </c>
      <c r="L49">
        <v>2.2844243999999998</v>
      </c>
      <c r="M49" s="1">
        <v>2.3046850000000001E-26</v>
      </c>
      <c r="N49" t="str">
        <f t="shared" si="6"/>
        <v>2.01(1.77-2.28)</v>
      </c>
      <c r="O49" t="str">
        <f t="shared" si="7"/>
        <v>&lt;0.001</v>
      </c>
    </row>
    <row r="50" spans="1:15" x14ac:dyDescent="0.3">
      <c r="A50" t="s">
        <v>21</v>
      </c>
      <c r="B50">
        <v>0.57548129999999997</v>
      </c>
      <c r="C50">
        <v>0.49382031999999998</v>
      </c>
      <c r="D50">
        <v>0.67064610000000002</v>
      </c>
      <c r="E50" s="1">
        <v>1.476748E-12</v>
      </c>
      <c r="F50" t="str">
        <f t="shared" si="4"/>
        <v>0.58(0.49-0.67)</v>
      </c>
      <c r="G50" t="str">
        <f t="shared" si="5"/>
        <v>&lt;0.001</v>
      </c>
      <c r="I50" t="s">
        <v>21</v>
      </c>
      <c r="J50">
        <v>0.5374641</v>
      </c>
      <c r="K50">
        <v>0.45781870000000002</v>
      </c>
      <c r="L50">
        <v>0.63096509999999995</v>
      </c>
      <c r="M50" s="1">
        <v>3.2645379999999997E-14</v>
      </c>
      <c r="N50" t="str">
        <f t="shared" si="6"/>
        <v>0.54(0.46-0.63)</v>
      </c>
      <c r="O50" t="str">
        <f t="shared" si="7"/>
        <v>&lt;0.001</v>
      </c>
    </row>
    <row r="51" spans="1:15" x14ac:dyDescent="0.3">
      <c r="A51" t="s">
        <v>22</v>
      </c>
      <c r="B51">
        <v>2.3338321</v>
      </c>
      <c r="C51">
        <v>2.0751729800000001</v>
      </c>
      <c r="D51">
        <v>2.6247316999999999</v>
      </c>
      <c r="E51" s="1">
        <v>2.1249690000000001E-45</v>
      </c>
      <c r="F51" t="str">
        <f t="shared" si="4"/>
        <v>2.33(2.08-2.62)</v>
      </c>
      <c r="G51" t="str">
        <f t="shared" si="5"/>
        <v>&lt;0.001</v>
      </c>
      <c r="I51" t="s">
        <v>22</v>
      </c>
      <c r="J51">
        <v>2.7655644000000001</v>
      </c>
      <c r="K51">
        <v>2.4147702</v>
      </c>
      <c r="L51">
        <v>3.1673184999999999</v>
      </c>
      <c r="M51" s="1">
        <v>6.5547760000000004E-49</v>
      </c>
      <c r="N51" t="str">
        <f t="shared" si="6"/>
        <v>2.77(2.41-3.17)</v>
      </c>
      <c r="O51" t="str">
        <f t="shared" si="7"/>
        <v>&lt;0.001</v>
      </c>
    </row>
    <row r="52" spans="1:15" x14ac:dyDescent="0.3">
      <c r="A52" t="s">
        <v>23</v>
      </c>
      <c r="B52">
        <v>8.1982880999999992</v>
      </c>
      <c r="C52">
        <v>7.2896206100000001</v>
      </c>
      <c r="D52">
        <v>9.2202231000000001</v>
      </c>
      <c r="E52" s="1">
        <v>6.1894500000000004E-270</v>
      </c>
      <c r="F52" t="str">
        <f t="shared" si="4"/>
        <v>8.2(7.29-9.22)</v>
      </c>
      <c r="G52" t="str">
        <f t="shared" si="5"/>
        <v>&lt;0.001</v>
      </c>
      <c r="I52" t="s">
        <v>23</v>
      </c>
      <c r="J52">
        <v>10.742718200000001</v>
      </c>
      <c r="K52">
        <v>9.4026063999999998</v>
      </c>
      <c r="L52">
        <v>12.2738301</v>
      </c>
      <c r="M52" s="1">
        <v>3.142946E-267</v>
      </c>
      <c r="N52" t="str">
        <f t="shared" si="6"/>
        <v>10.74(9.4-12.27)</v>
      </c>
      <c r="O52" t="str">
        <f t="shared" si="7"/>
        <v>&lt;0.001</v>
      </c>
    </row>
    <row r="53" spans="1:15" x14ac:dyDescent="0.3">
      <c r="A53" t="s">
        <v>24</v>
      </c>
      <c r="B53">
        <v>3.6639160999999998</v>
      </c>
      <c r="C53">
        <v>3.0640073800000001</v>
      </c>
      <c r="D53">
        <v>4.3812822000000002</v>
      </c>
      <c r="E53" s="1">
        <v>5.6764399999999998E-46</v>
      </c>
      <c r="F53" t="str">
        <f t="shared" si="4"/>
        <v>3.66(3.06-4.38)</v>
      </c>
      <c r="G53" t="str">
        <f t="shared" si="5"/>
        <v>&lt;0.001</v>
      </c>
      <c r="I53" t="s">
        <v>24</v>
      </c>
      <c r="J53">
        <v>4.1950710000000004</v>
      </c>
      <c r="K53">
        <v>3.4223015999999999</v>
      </c>
      <c r="L53">
        <v>5.1423348999999998</v>
      </c>
      <c r="M53" s="1">
        <v>2.417518E-43</v>
      </c>
      <c r="N53" t="str">
        <f t="shared" si="6"/>
        <v>4.2(3.42-5.14)</v>
      </c>
      <c r="O53" t="str">
        <f t="shared" si="7"/>
        <v>&lt;0.001</v>
      </c>
    </row>
    <row r="56" spans="1:15" x14ac:dyDescent="0.3">
      <c r="A56" t="s">
        <v>128</v>
      </c>
      <c r="I56" t="s">
        <v>129</v>
      </c>
    </row>
    <row r="57" spans="1:15" x14ac:dyDescent="0.3">
      <c r="B57" t="s">
        <v>120</v>
      </c>
      <c r="C57" t="s">
        <v>121</v>
      </c>
      <c r="D57" t="s">
        <v>3</v>
      </c>
      <c r="E57" t="s">
        <v>122</v>
      </c>
      <c r="F57" t="s">
        <v>123</v>
      </c>
      <c r="G57" t="s">
        <v>124</v>
      </c>
      <c r="J57" t="s">
        <v>120</v>
      </c>
      <c r="K57" t="s">
        <v>121</v>
      </c>
      <c r="L57" t="s">
        <v>3</v>
      </c>
      <c r="M57" t="s">
        <v>122</v>
      </c>
      <c r="N57" t="s">
        <v>123</v>
      </c>
      <c r="O57" t="s">
        <v>124</v>
      </c>
    </row>
    <row r="58" spans="1:15" x14ac:dyDescent="0.3">
      <c r="A58" t="s">
        <v>125</v>
      </c>
      <c r="B58" s="1">
        <v>1.3572200000000001</v>
      </c>
      <c r="C58">
        <v>0.64524559999999997</v>
      </c>
      <c r="D58" s="1">
        <v>2.8547989999999999</v>
      </c>
      <c r="E58">
        <v>0.42075715429999999</v>
      </c>
      <c r="F58" t="str">
        <f>ROUND($B58,2)&amp;"("&amp;ROUND($C58,2)&amp;"-"&amp;ROUND($D58,2)&amp;")"</f>
        <v>1.36(0.65-2.85)</v>
      </c>
      <c r="G58">
        <f>IF($E58&lt;0.001,"&lt;0.001",ROUND($E58,3))</f>
        <v>0.42099999999999999</v>
      </c>
      <c r="I58" t="s">
        <v>125</v>
      </c>
      <c r="J58" s="1">
        <v>1.3844559999999999</v>
      </c>
      <c r="K58">
        <v>0.62008430000000003</v>
      </c>
      <c r="L58" s="1">
        <v>3.091062</v>
      </c>
      <c r="M58">
        <v>0.42730826</v>
      </c>
      <c r="N58" t="str">
        <f>ROUND($J58,2)&amp;"("&amp;ROUND($K58,2)&amp;"-"&amp;ROUND($L58,2)&amp;")"</f>
        <v>1.38(0.62-3.09)</v>
      </c>
      <c r="O58">
        <f>IF($M58&lt;0.001,"&lt;0.001",ROUND($M58,3))</f>
        <v>0.42699999999999999</v>
      </c>
    </row>
    <row r="59" spans="1:15" x14ac:dyDescent="0.3">
      <c r="A59" t="s">
        <v>126</v>
      </c>
      <c r="B59">
        <v>1.3791629999999999</v>
      </c>
      <c r="C59">
        <v>1.1617101999999999</v>
      </c>
      <c r="D59">
        <v>1.637319</v>
      </c>
      <c r="E59" s="1">
        <v>2.4050459999999999E-4</v>
      </c>
      <c r="F59" t="str">
        <f t="shared" ref="F59:F66" si="8">ROUND($B59,2)&amp;"("&amp;ROUND($C59,2)&amp;"-"&amp;ROUND($D59,2)&amp;")"</f>
        <v>1.38(1.16-1.64)</v>
      </c>
      <c r="G59" t="str">
        <f t="shared" ref="G59:G66" si="9">IF($E59&lt;0.001,"&lt;0.001",ROUND($E59,3))</f>
        <v>&lt;0.001</v>
      </c>
      <c r="I59" t="s">
        <v>126</v>
      </c>
      <c r="J59">
        <v>1.2226619999999999</v>
      </c>
      <c r="K59">
        <v>1.0033677000000001</v>
      </c>
      <c r="L59">
        <v>1.489886</v>
      </c>
      <c r="M59" s="1">
        <v>4.6228659999999998E-2</v>
      </c>
      <c r="N59" t="str">
        <f t="shared" ref="N59:N66" si="10">ROUND($J59,2)&amp;"("&amp;ROUND($K59,2)&amp;"-"&amp;ROUND($L59,2)&amp;")"</f>
        <v>1.22(1-1.49)</v>
      </c>
      <c r="O59">
        <f t="shared" ref="O59:O66" si="11">IF($M59&lt;0.001,"&lt;0.001",ROUND($M59,3))</f>
        <v>4.5999999999999999E-2</v>
      </c>
    </row>
    <row r="60" spans="1:15" x14ac:dyDescent="0.3">
      <c r="A60" t="s">
        <v>127</v>
      </c>
      <c r="B60">
        <v>1.0161673</v>
      </c>
      <c r="C60">
        <v>0.4762615</v>
      </c>
      <c r="D60">
        <v>2.1681279999999998</v>
      </c>
      <c r="E60">
        <v>0.9669141</v>
      </c>
      <c r="F60" t="str">
        <f t="shared" si="8"/>
        <v>1.02(0.48-2.17)</v>
      </c>
      <c r="G60">
        <f t="shared" si="9"/>
        <v>0.96699999999999997</v>
      </c>
      <c r="I60" t="s">
        <v>127</v>
      </c>
      <c r="J60">
        <v>0.88313549999999996</v>
      </c>
      <c r="K60">
        <v>0.38843060000000001</v>
      </c>
      <c r="L60">
        <v>2.0078960000000001</v>
      </c>
      <c r="M60">
        <v>0.76680800000000005</v>
      </c>
      <c r="N60" t="str">
        <f t="shared" si="10"/>
        <v>0.88(0.39-2.01)</v>
      </c>
      <c r="O60">
        <f t="shared" si="11"/>
        <v>0.76700000000000002</v>
      </c>
    </row>
    <row r="61" spans="1:15" x14ac:dyDescent="0.3">
      <c r="A61" t="s">
        <v>59</v>
      </c>
      <c r="B61">
        <v>1.0503070000000001</v>
      </c>
      <c r="C61">
        <v>1.0430280000000001</v>
      </c>
      <c r="D61">
        <v>1.057636</v>
      </c>
      <c r="E61" s="1">
        <v>1.6139389999999999E-43</v>
      </c>
      <c r="F61" t="str">
        <f t="shared" si="8"/>
        <v>1.05(1.04-1.06)</v>
      </c>
      <c r="G61" t="str">
        <f t="shared" si="9"/>
        <v>&lt;0.001</v>
      </c>
      <c r="I61" t="s">
        <v>59</v>
      </c>
      <c r="J61">
        <v>1.044405</v>
      </c>
      <c r="K61">
        <v>1.036535</v>
      </c>
      <c r="L61">
        <v>1.052335</v>
      </c>
      <c r="M61" s="1">
        <v>2.1285629999999999E-29</v>
      </c>
      <c r="N61" t="str">
        <f t="shared" si="10"/>
        <v>1.04(1.04-1.05)</v>
      </c>
      <c r="O61" t="str">
        <f t="shared" si="11"/>
        <v>&lt;0.001</v>
      </c>
    </row>
    <row r="62" spans="1:15" x14ac:dyDescent="0.3">
      <c r="A62" t="s">
        <v>60</v>
      </c>
      <c r="B62">
        <v>1.4085319999999999</v>
      </c>
      <c r="C62">
        <v>0.99100379999999999</v>
      </c>
      <c r="D62">
        <v>2.001973</v>
      </c>
      <c r="E62">
        <v>5.6186489999999999E-2</v>
      </c>
      <c r="F62" t="str">
        <f t="shared" si="8"/>
        <v>1.41(0.99-2)</v>
      </c>
      <c r="G62">
        <f t="shared" si="9"/>
        <v>5.6000000000000001E-2</v>
      </c>
      <c r="I62" t="s">
        <v>60</v>
      </c>
      <c r="J62">
        <v>1.2431099999999999</v>
      </c>
      <c r="K62">
        <v>0.86395999999999995</v>
      </c>
      <c r="L62">
        <v>1.7886500000000001</v>
      </c>
      <c r="M62">
        <v>0.241094</v>
      </c>
      <c r="N62" t="str">
        <f t="shared" si="10"/>
        <v>1.24(0.86-1.79)</v>
      </c>
      <c r="O62">
        <f t="shared" si="11"/>
        <v>0.24099999999999999</v>
      </c>
    </row>
    <row r="63" spans="1:15" x14ac:dyDescent="0.3">
      <c r="A63" t="s">
        <v>21</v>
      </c>
      <c r="B63">
        <v>0.3943586</v>
      </c>
      <c r="C63">
        <v>0.32720280000000002</v>
      </c>
      <c r="D63">
        <v>0.47529759999999999</v>
      </c>
      <c r="E63" s="1">
        <v>1.5251169999999999E-22</v>
      </c>
      <c r="F63" t="str">
        <f t="shared" si="8"/>
        <v>0.39(0.33-0.48)</v>
      </c>
      <c r="G63" t="str">
        <f t="shared" si="9"/>
        <v>&lt;0.001</v>
      </c>
      <c r="I63" t="s">
        <v>21</v>
      </c>
      <c r="J63">
        <v>0.36073830000000001</v>
      </c>
      <c r="K63">
        <v>0.29583110000000001</v>
      </c>
      <c r="L63">
        <v>0.43988660000000002</v>
      </c>
      <c r="M63" s="1">
        <v>7.1756830000000001E-24</v>
      </c>
      <c r="N63" t="str">
        <f t="shared" si="10"/>
        <v>0.36(0.3-0.44)</v>
      </c>
      <c r="O63" t="str">
        <f t="shared" si="11"/>
        <v>&lt;0.001</v>
      </c>
    </row>
    <row r="64" spans="1:15" x14ac:dyDescent="0.3">
      <c r="A64" t="s">
        <v>22</v>
      </c>
      <c r="B64">
        <v>2.3726940000000001</v>
      </c>
      <c r="C64">
        <v>2.0245920000000002</v>
      </c>
      <c r="D64">
        <v>2.7806470000000001</v>
      </c>
      <c r="E64" s="1">
        <v>1.3518789999999999E-26</v>
      </c>
      <c r="F64" t="str">
        <f t="shared" si="8"/>
        <v>2.37(2.02-2.78)</v>
      </c>
      <c r="G64" t="str">
        <f t="shared" si="9"/>
        <v>&lt;0.001</v>
      </c>
      <c r="I64" t="s">
        <v>22</v>
      </c>
      <c r="J64">
        <v>2.8041149999999999</v>
      </c>
      <c r="K64">
        <v>2.3296830000000002</v>
      </c>
      <c r="L64">
        <v>3.375165</v>
      </c>
      <c r="M64" s="1">
        <v>1.117965E-27</v>
      </c>
      <c r="N64" t="str">
        <f t="shared" si="10"/>
        <v>2.8(2.33-3.38)</v>
      </c>
      <c r="O64" t="str">
        <f t="shared" si="11"/>
        <v>&lt;0.001</v>
      </c>
    </row>
    <row r="65" spans="1:15" x14ac:dyDescent="0.3">
      <c r="A65" t="s">
        <v>23</v>
      </c>
      <c r="B65">
        <v>6.8206300000000004</v>
      </c>
      <c r="C65">
        <v>5.7789450000000002</v>
      </c>
      <c r="D65">
        <v>8.050084</v>
      </c>
      <c r="E65" s="1">
        <v>3.932613E-114</v>
      </c>
      <c r="F65" t="str">
        <f t="shared" si="8"/>
        <v>6.82(5.78-8.05)</v>
      </c>
      <c r="G65" t="str">
        <f t="shared" si="9"/>
        <v>&lt;0.001</v>
      </c>
      <c r="I65" t="s">
        <v>23</v>
      </c>
      <c r="J65">
        <v>9.0340179999999997</v>
      </c>
      <c r="K65">
        <v>7.4806369999999998</v>
      </c>
      <c r="L65">
        <v>10.909964</v>
      </c>
      <c r="M65" s="1">
        <v>1.071881E-115</v>
      </c>
      <c r="N65" t="str">
        <f t="shared" si="10"/>
        <v>9.03(7.48-10.91)</v>
      </c>
      <c r="O65" t="str">
        <f t="shared" si="11"/>
        <v>&lt;0.001</v>
      </c>
    </row>
    <row r="66" spans="1:15" x14ac:dyDescent="0.3">
      <c r="A66" t="s">
        <v>24</v>
      </c>
      <c r="B66">
        <v>4.2607739999999996</v>
      </c>
      <c r="C66">
        <v>3.3301810000000001</v>
      </c>
      <c r="D66">
        <v>5.4514149999999999</v>
      </c>
      <c r="E66" s="1">
        <v>9.4915770000000007E-31</v>
      </c>
      <c r="F66" t="str">
        <f t="shared" si="8"/>
        <v>4.26(3.33-5.45)</v>
      </c>
      <c r="G66" t="str">
        <f t="shared" si="9"/>
        <v>&lt;0.001</v>
      </c>
      <c r="I66" t="s">
        <v>24</v>
      </c>
      <c r="J66">
        <v>4.7232240000000001</v>
      </c>
      <c r="K66">
        <v>3.552028</v>
      </c>
      <c r="L66">
        <v>6.2805929999999996</v>
      </c>
      <c r="M66" s="1">
        <v>1.295715E-26</v>
      </c>
      <c r="N66" t="str">
        <f t="shared" si="10"/>
        <v>4.72(3.55-6.28)</v>
      </c>
      <c r="O66" t="str">
        <f t="shared" si="11"/>
        <v>&lt;0.001</v>
      </c>
    </row>
    <row r="69" spans="1:15" x14ac:dyDescent="0.3">
      <c r="A69" t="s">
        <v>130</v>
      </c>
      <c r="I69" t="s">
        <v>130</v>
      </c>
    </row>
    <row r="70" spans="1:15" x14ac:dyDescent="0.3">
      <c r="B70" t="s">
        <v>137</v>
      </c>
      <c r="C70" t="s">
        <v>138</v>
      </c>
      <c r="D70" t="s">
        <v>139</v>
      </c>
      <c r="E70" t="s">
        <v>140</v>
      </c>
      <c r="F70" t="s">
        <v>141</v>
      </c>
      <c r="G70" t="s">
        <v>142</v>
      </c>
      <c r="J70" t="s">
        <v>137</v>
      </c>
      <c r="K70" t="s">
        <v>138</v>
      </c>
      <c r="L70" t="s">
        <v>139</v>
      </c>
      <c r="M70" t="s">
        <v>140</v>
      </c>
      <c r="N70" t="s">
        <v>141</v>
      </c>
      <c r="O70" t="s">
        <v>142</v>
      </c>
    </row>
    <row r="71" spans="1:15" x14ac:dyDescent="0.3">
      <c r="A71" t="s">
        <v>135</v>
      </c>
      <c r="B71">
        <v>1.8115490999999999</v>
      </c>
      <c r="C71">
        <v>0.86063699999999999</v>
      </c>
      <c r="D71">
        <v>3.8131179999999998</v>
      </c>
      <c r="E71" s="1">
        <v>0.1176455</v>
      </c>
      <c r="F71" t="str">
        <f>ROUND($B71,2)&amp;"("&amp;ROUND($C71,2)&amp;"-"&amp;ROUND($D71,2)&amp;")"</f>
        <v>1.81(0.86-3.81)</v>
      </c>
      <c r="G71">
        <f>IF($E71&lt;0.001,"&lt;0.001",ROUND($E71,3))</f>
        <v>0.11799999999999999</v>
      </c>
      <c r="I71" t="s">
        <v>135</v>
      </c>
      <c r="J71">
        <v>1.7938163</v>
      </c>
      <c r="K71">
        <v>0.80276729999999996</v>
      </c>
      <c r="L71">
        <v>4.0083557000000001</v>
      </c>
      <c r="M71" s="1">
        <v>0.15432090000000001</v>
      </c>
      <c r="N71" t="str">
        <f>ROUND($J71,2)&amp;"("&amp;ROUND($K71,2)&amp;"-"&amp;ROUND($L71,2)&amp;")"</f>
        <v>1.79(0.8-4.01)</v>
      </c>
      <c r="O71">
        <f>IF($M71&lt;0.001,"&lt;0.001",ROUND($M71,3))</f>
        <v>0.154</v>
      </c>
    </row>
    <row r="72" spans="1:15" x14ac:dyDescent="0.3">
      <c r="A72" t="s">
        <v>136</v>
      </c>
      <c r="B72">
        <v>1.4270664</v>
      </c>
      <c r="C72">
        <v>1.2018165000000001</v>
      </c>
      <c r="D72">
        <v>1.6945337</v>
      </c>
      <c r="E72" s="1">
        <v>4.9626119999999997E-5</v>
      </c>
      <c r="F72" t="str">
        <f t="shared" ref="F72:F79" si="12">ROUND($B72,2)&amp;"("&amp;ROUND($C72,2)&amp;"-"&amp;ROUND($D72,2)&amp;")"</f>
        <v>1.43(1.2-1.69)</v>
      </c>
      <c r="G72" t="str">
        <f t="shared" ref="G72:G79" si="13">IF($E72&lt;0.001,"&lt;0.001",ROUND($E72,3))</f>
        <v>&lt;0.001</v>
      </c>
      <c r="I72" t="s">
        <v>136</v>
      </c>
      <c r="J72">
        <v>1.2620083</v>
      </c>
      <c r="K72">
        <v>1.0354416</v>
      </c>
      <c r="L72">
        <v>1.5381503999999999</v>
      </c>
      <c r="M72" s="1">
        <v>2.1170209999999998E-2</v>
      </c>
      <c r="N72" t="str">
        <f t="shared" ref="N72:N79" si="14">ROUND($J72,2)&amp;"("&amp;ROUND($K72,2)&amp;"-"&amp;ROUND($L72,2)&amp;")"</f>
        <v>1.26(1.04-1.54)</v>
      </c>
      <c r="O72">
        <f t="shared" ref="O72:O79" si="15">IF($M72&lt;0.001,"&lt;0.001",ROUND($M72,3))</f>
        <v>2.1000000000000001E-2</v>
      </c>
    </row>
    <row r="73" spans="1:15" x14ac:dyDescent="0.3">
      <c r="A73" t="s">
        <v>136</v>
      </c>
      <c r="B73">
        <v>0.78776029999999997</v>
      </c>
      <c r="C73">
        <v>0.3689635</v>
      </c>
      <c r="D73">
        <v>1.6819179</v>
      </c>
      <c r="E73" s="1">
        <v>0.53760019999999997</v>
      </c>
      <c r="F73" t="str">
        <f t="shared" si="12"/>
        <v>0.79(0.37-1.68)</v>
      </c>
      <c r="G73">
        <f t="shared" si="13"/>
        <v>0.53800000000000003</v>
      </c>
      <c r="I73" t="s">
        <v>136</v>
      </c>
      <c r="J73">
        <v>0.70353259999999995</v>
      </c>
      <c r="K73">
        <v>0.30918590000000001</v>
      </c>
      <c r="L73">
        <v>1.6008434</v>
      </c>
      <c r="M73" s="1">
        <v>0.40187780000000001</v>
      </c>
      <c r="N73" t="str">
        <f t="shared" si="14"/>
        <v>0.7(0.31-1.6)</v>
      </c>
      <c r="O73">
        <f t="shared" si="15"/>
        <v>0.40200000000000002</v>
      </c>
    </row>
    <row r="74" spans="1:15" x14ac:dyDescent="0.3">
      <c r="A74" t="s">
        <v>59</v>
      </c>
      <c r="B74">
        <v>1.0526243</v>
      </c>
      <c r="C74">
        <v>1.045207</v>
      </c>
      <c r="D74">
        <v>1.0600942</v>
      </c>
      <c r="E74" s="1">
        <v>7.3996019999999997E-46</v>
      </c>
      <c r="F74" t="str">
        <f t="shared" si="12"/>
        <v>1.05(1.05-1.06)</v>
      </c>
      <c r="G74" t="str">
        <f t="shared" si="13"/>
        <v>&lt;0.001</v>
      </c>
      <c r="I74" t="s">
        <v>59</v>
      </c>
      <c r="J74">
        <v>1.0473348</v>
      </c>
      <c r="K74">
        <v>1.0393003999999999</v>
      </c>
      <c r="L74">
        <v>1.0554313</v>
      </c>
      <c r="M74" s="1">
        <v>5.5166489999999998E-32</v>
      </c>
      <c r="N74" t="str">
        <f t="shared" si="14"/>
        <v>1.05(1.04-1.06)</v>
      </c>
      <c r="O74" t="str">
        <f t="shared" si="15"/>
        <v>&lt;0.001</v>
      </c>
    </row>
    <row r="75" spans="1:15" x14ac:dyDescent="0.3">
      <c r="A75" t="s">
        <v>60</v>
      </c>
      <c r="B75">
        <v>1.1536550999999999</v>
      </c>
      <c r="C75">
        <v>0.81063019999999997</v>
      </c>
      <c r="D75">
        <v>1.6418337000000001</v>
      </c>
      <c r="E75" s="1">
        <v>0.42725750000000001</v>
      </c>
      <c r="F75" t="str">
        <f t="shared" si="12"/>
        <v>1.15(0.81-1.64)</v>
      </c>
      <c r="G75">
        <f t="shared" si="13"/>
        <v>0.42699999999999999</v>
      </c>
      <c r="I75" t="s">
        <v>60</v>
      </c>
      <c r="J75">
        <v>1.0290191</v>
      </c>
      <c r="K75">
        <v>0.71411150000000001</v>
      </c>
      <c r="L75">
        <v>1.4827942000000001</v>
      </c>
      <c r="M75" s="1">
        <v>0.87802590000000003</v>
      </c>
      <c r="N75" t="str">
        <f t="shared" si="14"/>
        <v>1.03(0.71-1.48)</v>
      </c>
      <c r="O75">
        <f t="shared" si="15"/>
        <v>0.878</v>
      </c>
    </row>
    <row r="76" spans="1:15" x14ac:dyDescent="0.3">
      <c r="A76" t="s">
        <v>21</v>
      </c>
      <c r="B76">
        <v>0.53242250000000002</v>
      </c>
      <c r="C76">
        <v>0.4410559</v>
      </c>
      <c r="D76">
        <v>0.64271610000000001</v>
      </c>
      <c r="E76" s="1">
        <v>5.3089299999999998E-11</v>
      </c>
      <c r="F76" t="str">
        <f t="shared" si="12"/>
        <v>0.53(0.44-0.64)</v>
      </c>
      <c r="G76" t="str">
        <f t="shared" si="13"/>
        <v>&lt;0.001</v>
      </c>
      <c r="I76" t="s">
        <v>21</v>
      </c>
      <c r="J76">
        <v>0.50306580000000001</v>
      </c>
      <c r="K76">
        <v>0.41188999999999998</v>
      </c>
      <c r="L76">
        <v>0.61442430000000003</v>
      </c>
      <c r="M76" s="1">
        <v>1.6505900000000001E-11</v>
      </c>
      <c r="N76" t="str">
        <f t="shared" si="14"/>
        <v>0.5(0.41-0.61)</v>
      </c>
      <c r="O76" t="str">
        <f t="shared" si="15"/>
        <v>&lt;0.001</v>
      </c>
    </row>
    <row r="77" spans="1:15" x14ac:dyDescent="0.3">
      <c r="A77" t="s">
        <v>22</v>
      </c>
      <c r="B77">
        <v>2.3321792000000001</v>
      </c>
      <c r="C77">
        <v>1.9886807</v>
      </c>
      <c r="D77">
        <v>2.7350089999999998</v>
      </c>
      <c r="E77" s="1">
        <v>2.081334E-25</v>
      </c>
      <c r="F77" t="str">
        <f t="shared" si="12"/>
        <v>2.33(1.99-2.74)</v>
      </c>
      <c r="G77" t="str">
        <f t="shared" si="13"/>
        <v>&lt;0.001</v>
      </c>
      <c r="I77" t="s">
        <v>22</v>
      </c>
      <c r="J77">
        <v>2.7362693999999999</v>
      </c>
      <c r="K77">
        <v>2.2716658000000001</v>
      </c>
      <c r="L77">
        <v>3.2958940999999999</v>
      </c>
      <c r="M77" s="1">
        <v>2.9085609999999998E-26</v>
      </c>
      <c r="N77" t="str">
        <f t="shared" si="14"/>
        <v>2.74(2.27-3.3)</v>
      </c>
      <c r="O77" t="str">
        <f t="shared" si="15"/>
        <v>&lt;0.001</v>
      </c>
    </row>
    <row r="78" spans="1:15" x14ac:dyDescent="0.3">
      <c r="A78" t="s">
        <v>23</v>
      </c>
      <c r="B78">
        <v>6.7933149999999998</v>
      </c>
      <c r="C78">
        <v>5.7485466000000001</v>
      </c>
      <c r="D78">
        <v>8.0279644999999995</v>
      </c>
      <c r="E78" s="1">
        <v>5.5464619999999996E-112</v>
      </c>
      <c r="F78" t="str">
        <f t="shared" si="12"/>
        <v>6.79(5.75-8.03)</v>
      </c>
      <c r="G78" t="str">
        <f t="shared" si="13"/>
        <v>&lt;0.001</v>
      </c>
      <c r="I78" t="s">
        <v>23</v>
      </c>
      <c r="J78">
        <v>8.9025988999999992</v>
      </c>
      <c r="K78">
        <v>7.3617290999999998</v>
      </c>
      <c r="L78">
        <v>10.765985199999999</v>
      </c>
      <c r="M78" s="1">
        <v>1.4145370000000001E-112</v>
      </c>
      <c r="N78" t="str">
        <f t="shared" si="14"/>
        <v>8.9(7.36-10.77)</v>
      </c>
      <c r="O78" t="str">
        <f t="shared" si="15"/>
        <v>&lt;0.001</v>
      </c>
    </row>
    <row r="79" spans="1:15" x14ac:dyDescent="0.3">
      <c r="A79" t="s">
        <v>24</v>
      </c>
      <c r="B79">
        <v>3.6399499</v>
      </c>
      <c r="C79">
        <v>2.8413480999999998</v>
      </c>
      <c r="D79">
        <v>4.6630102000000004</v>
      </c>
      <c r="E79" s="1">
        <v>1.55991E-24</v>
      </c>
      <c r="F79" t="str">
        <f t="shared" si="12"/>
        <v>3.64(2.84-4.66)</v>
      </c>
      <c r="G79" t="str">
        <f t="shared" si="13"/>
        <v>&lt;0.001</v>
      </c>
      <c r="I79" t="s">
        <v>24</v>
      </c>
      <c r="J79">
        <v>4.0416055000000002</v>
      </c>
      <c r="K79">
        <v>3.0353542999999998</v>
      </c>
      <c r="L79">
        <v>5.3814394999999999</v>
      </c>
      <c r="M79" s="1">
        <v>1.1693559999999999E-21</v>
      </c>
      <c r="N79" t="str">
        <f t="shared" si="14"/>
        <v>4.04(3.04-5.38)</v>
      </c>
      <c r="O79" t="str">
        <f t="shared" si="15"/>
        <v>&lt;0.001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5"/>
  <sheetViews>
    <sheetView tabSelected="1" topLeftCell="A68" workbookViewId="0">
      <selection activeCell="G80" sqref="G80"/>
    </sheetView>
  </sheetViews>
  <sheetFormatPr defaultRowHeight="16.5" x14ac:dyDescent="0.3"/>
  <cols>
    <col min="1" max="1" width="36.125" bestFit="1" customWidth="1"/>
    <col min="3" max="5" width="10.5" bestFit="1" customWidth="1"/>
    <col min="6" max="6" width="14" bestFit="1" customWidth="1"/>
  </cols>
  <sheetData>
    <row r="1" spans="1:22" ht="165" x14ac:dyDescent="0.3">
      <c r="A1" s="7">
        <v>91556.4</v>
      </c>
      <c r="B1" s="6" t="s">
        <v>452</v>
      </c>
      <c r="F1" s="7">
        <v>91556.4</v>
      </c>
      <c r="G1" s="3">
        <v>2147</v>
      </c>
      <c r="H1">
        <f>ROUND(($G1/$F1)*1000,1)</f>
        <v>23.5</v>
      </c>
      <c r="M1" s="3">
        <v>91556.4</v>
      </c>
      <c r="N1" s="3">
        <v>2147</v>
      </c>
      <c r="O1">
        <f>ROUND(($N1/$M1)*1000,1)</f>
        <v>23.5</v>
      </c>
      <c r="P1" s="3">
        <v>23.5</v>
      </c>
      <c r="T1" s="3">
        <v>91556.4</v>
      </c>
      <c r="U1" s="3">
        <v>2147</v>
      </c>
      <c r="V1" s="3">
        <v>23.5</v>
      </c>
    </row>
    <row r="2" spans="1:22" x14ac:dyDescent="0.3">
      <c r="A2" s="8">
        <v>54462.9</v>
      </c>
      <c r="F2" s="8">
        <v>54462.9</v>
      </c>
      <c r="G2" s="4">
        <v>1026</v>
      </c>
      <c r="H2">
        <f t="shared" ref="H2:H9" si="0">ROUND(($G2/$F2)*1000,1)</f>
        <v>18.8</v>
      </c>
      <c r="M2" s="4">
        <v>54539.8</v>
      </c>
      <c r="N2" s="4">
        <v>1027</v>
      </c>
      <c r="O2">
        <f t="shared" ref="O2:O5" si="1">ROUND(($N2/$M2)*1000,1)</f>
        <v>18.8</v>
      </c>
      <c r="P2" s="4">
        <v>18.8</v>
      </c>
      <c r="T2" s="4">
        <v>54462.9</v>
      </c>
      <c r="U2" s="4">
        <v>1026</v>
      </c>
      <c r="V2" s="4">
        <v>18.8</v>
      </c>
    </row>
    <row r="3" spans="1:22" x14ac:dyDescent="0.3">
      <c r="A3" s="8">
        <v>76.900000000000006</v>
      </c>
      <c r="F3" s="8">
        <v>76.900000000000006</v>
      </c>
      <c r="G3" s="4">
        <v>1</v>
      </c>
      <c r="H3">
        <f t="shared" si="0"/>
        <v>13</v>
      </c>
      <c r="M3" s="4">
        <v>23305.3</v>
      </c>
      <c r="N3" s="4">
        <v>664</v>
      </c>
      <c r="O3">
        <f t="shared" si="1"/>
        <v>28.5</v>
      </c>
      <c r="P3" s="4">
        <v>28.5</v>
      </c>
      <c r="T3" s="4">
        <v>76.900000000000006</v>
      </c>
      <c r="U3" s="4">
        <v>1</v>
      </c>
      <c r="V3" s="4">
        <v>13</v>
      </c>
    </row>
    <row r="4" spans="1:22" x14ac:dyDescent="0.3">
      <c r="A4" s="8"/>
      <c r="F4" s="8"/>
      <c r="G4" s="4"/>
      <c r="M4" s="4"/>
      <c r="N4" s="4"/>
      <c r="P4" s="4"/>
      <c r="T4" s="4"/>
      <c r="U4" s="4"/>
      <c r="V4" s="4"/>
    </row>
    <row r="5" spans="1:22" ht="17.25" thickBot="1" x14ac:dyDescent="0.35">
      <c r="A5" s="8"/>
      <c r="F5" s="8"/>
      <c r="G5" s="4"/>
      <c r="M5" s="5"/>
      <c r="N5" s="5"/>
      <c r="P5" s="5"/>
      <c r="T5" s="4"/>
      <c r="U5" s="4"/>
      <c r="V5" s="4"/>
    </row>
    <row r="6" spans="1:22" x14ac:dyDescent="0.3">
      <c r="A6" s="8"/>
      <c r="F6" s="8"/>
      <c r="G6" s="4"/>
      <c r="T6" s="4"/>
      <c r="U6" s="4"/>
      <c r="V6" s="4"/>
    </row>
    <row r="7" spans="1:22" x14ac:dyDescent="0.3">
      <c r="A7" s="8"/>
      <c r="F7" s="8"/>
      <c r="G7" s="4"/>
      <c r="T7" s="4"/>
      <c r="U7" s="4"/>
      <c r="V7" s="4"/>
    </row>
    <row r="8" spans="1:22" ht="17.25" thickBot="1" x14ac:dyDescent="0.35">
      <c r="A8" s="8"/>
      <c r="F8" s="8"/>
      <c r="G8" s="4"/>
      <c r="T8" s="4"/>
      <c r="U8" s="4"/>
      <c r="V8" s="4"/>
    </row>
    <row r="9" spans="1:22" ht="17.25" thickBot="1" x14ac:dyDescent="0.35">
      <c r="A9" s="9"/>
      <c r="F9" s="9"/>
      <c r="G9" s="5"/>
      <c r="M9" s="3"/>
      <c r="N9" s="3"/>
      <c r="P9" s="3"/>
      <c r="T9" s="5"/>
      <c r="U9" s="5"/>
      <c r="V9" s="5"/>
    </row>
    <row r="10" spans="1:22" x14ac:dyDescent="0.3">
      <c r="M10" s="4"/>
      <c r="N10" s="4"/>
      <c r="P10" s="4"/>
    </row>
    <row r="11" spans="1:22" x14ac:dyDescent="0.3">
      <c r="M11" s="4"/>
      <c r="N11" s="4"/>
      <c r="P11" s="4"/>
    </row>
    <row r="12" spans="1:22" ht="17.25" thickBot="1" x14ac:dyDescent="0.35">
      <c r="M12" s="4"/>
      <c r="N12" s="4"/>
      <c r="P12" s="4"/>
    </row>
    <row r="13" spans="1:22" ht="17.25" thickBot="1" x14ac:dyDescent="0.35">
      <c r="M13" s="5"/>
      <c r="N13" s="5"/>
      <c r="P13" s="5"/>
      <c r="T13" s="3"/>
      <c r="U13" s="3"/>
      <c r="V13" s="3"/>
    </row>
    <row r="14" spans="1:22" x14ac:dyDescent="0.3">
      <c r="E14" s="4"/>
      <c r="F14" s="4"/>
      <c r="G14" s="4"/>
      <c r="T14" s="4"/>
      <c r="U14" s="4"/>
      <c r="V14" s="4"/>
    </row>
    <row r="15" spans="1:22" x14ac:dyDescent="0.3">
      <c r="E15" s="4"/>
      <c r="F15" s="4"/>
      <c r="G15" s="4"/>
      <c r="T15" s="4"/>
      <c r="U15" s="4"/>
      <c r="V15" s="4"/>
    </row>
    <row r="16" spans="1:22" ht="17.25" thickBot="1" x14ac:dyDescent="0.35">
      <c r="E16" s="5"/>
      <c r="F16" s="5"/>
      <c r="G16" s="5"/>
      <c r="T16" s="4"/>
      <c r="U16" s="4"/>
      <c r="V16" s="4"/>
    </row>
    <row r="17" spans="1:22" x14ac:dyDescent="0.3">
      <c r="M17" s="3"/>
      <c r="N17" s="3"/>
      <c r="P17" s="3"/>
      <c r="T17" s="4"/>
      <c r="U17" s="4"/>
      <c r="V17" s="4"/>
    </row>
    <row r="18" spans="1:22" x14ac:dyDescent="0.3">
      <c r="M18" s="4"/>
      <c r="N18" s="4"/>
      <c r="P18" s="4"/>
      <c r="T18" s="4"/>
      <c r="U18" s="4"/>
      <c r="V18" s="4"/>
    </row>
    <row r="19" spans="1:22" x14ac:dyDescent="0.3">
      <c r="E19" s="4"/>
      <c r="F19" s="4"/>
      <c r="G19" s="4"/>
      <c r="M19" s="4"/>
      <c r="N19" s="4"/>
      <c r="P19" s="4"/>
      <c r="T19" s="4"/>
      <c r="U19" s="4"/>
      <c r="V19" s="4"/>
    </row>
    <row r="20" spans="1:22" x14ac:dyDescent="0.3">
      <c r="E20" s="4"/>
      <c r="F20" s="4"/>
      <c r="G20" s="4"/>
      <c r="M20" s="4"/>
      <c r="N20" s="4"/>
      <c r="P20" s="4"/>
      <c r="T20" s="4"/>
      <c r="U20" s="4"/>
      <c r="V20" s="4"/>
    </row>
    <row r="21" spans="1:22" ht="17.25" thickBot="1" x14ac:dyDescent="0.35">
      <c r="E21" s="4"/>
      <c r="F21" s="4"/>
      <c r="G21" s="4"/>
      <c r="M21" s="5"/>
      <c r="N21" s="4"/>
      <c r="P21" s="4"/>
      <c r="T21" s="4"/>
      <c r="U21" s="4"/>
      <c r="V21" s="4"/>
    </row>
    <row r="25" spans="1:22" x14ac:dyDescent="0.3">
      <c r="A25" t="s">
        <v>109</v>
      </c>
      <c r="C25">
        <v>0.91157350000000004</v>
      </c>
      <c r="D25">
        <v>0.81536319999999995</v>
      </c>
      <c r="E25">
        <v>1.0191363</v>
      </c>
      <c r="F25" s="1" t="str">
        <f>ROUND($C25,2)&amp;"("&amp;ROUND($D25,2)&amp;"-"&amp;ROUND($E25,2)&amp;")"</f>
        <v>0.91(0.82-1.02)</v>
      </c>
    </row>
    <row r="26" spans="1:22" x14ac:dyDescent="0.3">
      <c r="A26" t="s">
        <v>108</v>
      </c>
      <c r="C26">
        <v>1.2027330000000001</v>
      </c>
      <c r="D26">
        <v>1.0457099999999999</v>
      </c>
      <c r="E26">
        <v>1.3833344999999999</v>
      </c>
      <c r="F26" s="1" t="str">
        <f>ROUND($C26,2)&amp;"("&amp;ROUND($D26,2)&amp;"-"&amp;ROUND($E26,2)&amp;")"</f>
        <v>1.2(1.05-1.38)</v>
      </c>
    </row>
    <row r="27" spans="1:22" x14ac:dyDescent="0.3">
      <c r="A27" t="s">
        <v>110</v>
      </c>
      <c r="C27">
        <v>1.415157</v>
      </c>
      <c r="D27">
        <v>1.1828019999999999</v>
      </c>
      <c r="E27">
        <v>1.6931569</v>
      </c>
      <c r="F27" s="1" t="str">
        <f>ROUND($C27,2)&amp;"("&amp;ROUND($D27,2)&amp;"-"&amp;ROUND($E27,2)&amp;")"</f>
        <v>1.42(1.18-1.69)</v>
      </c>
    </row>
    <row r="29" spans="1:22" x14ac:dyDescent="0.3">
      <c r="A29" t="s">
        <v>453</v>
      </c>
      <c r="C29">
        <v>1.0970042</v>
      </c>
      <c r="D29">
        <v>0.98122299999999996</v>
      </c>
      <c r="E29">
        <v>1.2264473</v>
      </c>
      <c r="F29" s="1" t="str">
        <f>ROUND($C29,2)&amp;"("&amp;ROUND($D29,2)&amp;"-"&amp;ROUND($E29,2)&amp;")"</f>
        <v>1.1(0.98-1.23)</v>
      </c>
    </row>
    <row r="30" spans="1:22" x14ac:dyDescent="0.3">
      <c r="A30" t="s">
        <v>108</v>
      </c>
      <c r="C30">
        <v>1.3194032</v>
      </c>
      <c r="D30">
        <v>1.1505962000000001</v>
      </c>
      <c r="E30">
        <v>1.5129764000000001</v>
      </c>
      <c r="F30" s="1" t="str">
        <f t="shared" ref="F30:F39" si="2">ROUND($C30,2)&amp;"("&amp;ROUND($D30,2)&amp;"-"&amp;ROUND($E30,2)&amp;")"</f>
        <v>1.32(1.15-1.51)</v>
      </c>
    </row>
    <row r="31" spans="1:22" x14ac:dyDescent="0.3">
      <c r="A31" t="s">
        <v>110</v>
      </c>
      <c r="C31">
        <v>1.5524332000000001</v>
      </c>
      <c r="D31">
        <v>1.3005916</v>
      </c>
      <c r="E31">
        <v>1.8530405999999999</v>
      </c>
      <c r="F31" s="1" t="str">
        <f t="shared" si="2"/>
        <v>1.55(1.3-1.85)</v>
      </c>
    </row>
    <row r="33" spans="1:15" x14ac:dyDescent="0.3">
      <c r="A33" t="s">
        <v>453</v>
      </c>
      <c r="C33">
        <v>0.8314397</v>
      </c>
      <c r="D33">
        <v>0.7228909</v>
      </c>
      <c r="E33">
        <v>0.95628809999999997</v>
      </c>
      <c r="F33" s="1" t="str">
        <f t="shared" si="2"/>
        <v>0.83(0.72-0.96)</v>
      </c>
    </row>
    <row r="34" spans="1:15" x14ac:dyDescent="0.3">
      <c r="A34" t="s">
        <v>109</v>
      </c>
      <c r="C34">
        <v>0.75791839999999999</v>
      </c>
      <c r="D34">
        <v>0.66094889999999995</v>
      </c>
      <c r="E34">
        <v>0.86911459999999996</v>
      </c>
      <c r="F34" s="1" t="str">
        <f t="shared" si="2"/>
        <v>0.76(0.66-0.87)</v>
      </c>
      <c r="O34" s="1"/>
    </row>
    <row r="35" spans="1:15" x14ac:dyDescent="0.3">
      <c r="A35" t="s">
        <v>110</v>
      </c>
      <c r="C35">
        <v>1.1766177</v>
      </c>
      <c r="D35">
        <v>0.96781969999999995</v>
      </c>
      <c r="E35">
        <v>1.4304619000000001</v>
      </c>
      <c r="F35" s="1" t="str">
        <f t="shared" si="2"/>
        <v>1.18(0.97-1.43)</v>
      </c>
      <c r="O35" s="1"/>
    </row>
    <row r="36" spans="1:15" x14ac:dyDescent="0.3">
      <c r="O36" s="1"/>
    </row>
    <row r="37" spans="1:15" x14ac:dyDescent="0.3">
      <c r="A37" t="s">
        <v>453</v>
      </c>
      <c r="C37">
        <v>0.70663540000000002</v>
      </c>
      <c r="D37">
        <v>0.59061269999999999</v>
      </c>
      <c r="E37">
        <v>0.84545009999999998</v>
      </c>
      <c r="F37" s="1" t="str">
        <f t="shared" si="2"/>
        <v>0.71(0.59-0.85)</v>
      </c>
    </row>
    <row r="38" spans="1:15" x14ac:dyDescent="0.3">
      <c r="A38" t="s">
        <v>109</v>
      </c>
      <c r="C38">
        <v>0.64415009999999995</v>
      </c>
      <c r="D38">
        <v>0.53965359999999996</v>
      </c>
      <c r="E38">
        <v>0.76888089999999998</v>
      </c>
      <c r="F38" s="1" t="str">
        <f t="shared" si="2"/>
        <v>0.64(0.54-0.77)</v>
      </c>
    </row>
    <row r="39" spans="1:15" x14ac:dyDescent="0.3">
      <c r="A39" t="s">
        <v>108</v>
      </c>
      <c r="C39">
        <v>0.84989369999999997</v>
      </c>
      <c r="D39">
        <v>0.69907490000000005</v>
      </c>
      <c r="E39">
        <v>1.0332503</v>
      </c>
      <c r="F39" s="1" t="str">
        <f t="shared" si="2"/>
        <v>0.85(0.7-1.03)</v>
      </c>
    </row>
    <row r="40" spans="1:15" x14ac:dyDescent="0.3">
      <c r="K40" t="s">
        <v>108</v>
      </c>
      <c r="L40">
        <v>0.69907490000000005</v>
      </c>
      <c r="M40">
        <v>1.0332503</v>
      </c>
    </row>
    <row r="41" spans="1:15" x14ac:dyDescent="0.3">
      <c r="K41" t="s">
        <v>109</v>
      </c>
      <c r="L41">
        <v>0.53965359999999996</v>
      </c>
      <c r="M41">
        <v>0.76888089999999998</v>
      </c>
    </row>
    <row r="42" spans="1:15" x14ac:dyDescent="0.3">
      <c r="K42" t="s">
        <v>453</v>
      </c>
      <c r="L42">
        <v>0.59061269999999999</v>
      </c>
      <c r="M42">
        <v>0.84545009999999998</v>
      </c>
    </row>
    <row r="46" spans="1:15" x14ac:dyDescent="0.3">
      <c r="A46" t="s">
        <v>454</v>
      </c>
      <c r="C46">
        <v>1.8115490999999999</v>
      </c>
      <c r="D46">
        <v>0.86063699999999999</v>
      </c>
      <c r="E46">
        <v>3.8131179999999998</v>
      </c>
      <c r="F46" s="1" t="str">
        <f t="shared" ref="F46:F53" si="3">ROUND($C46,2)&amp;"("&amp;ROUND($D46,2)&amp;"-"&amp;ROUND($E46,2)&amp;")"</f>
        <v>1.81(0.86-3.81)</v>
      </c>
    </row>
    <row r="47" spans="1:15" x14ac:dyDescent="0.3">
      <c r="A47" t="s">
        <v>455</v>
      </c>
      <c r="C47">
        <v>1.4270664</v>
      </c>
      <c r="D47">
        <v>1.2018165000000001</v>
      </c>
      <c r="E47">
        <v>1.6945337</v>
      </c>
      <c r="F47" s="1" t="str">
        <f t="shared" si="3"/>
        <v>1.43(1.2-1.69)</v>
      </c>
    </row>
    <row r="48" spans="1:15" x14ac:dyDescent="0.3">
      <c r="F48" s="1"/>
    </row>
    <row r="49" spans="1:10" x14ac:dyDescent="0.3">
      <c r="A49" t="s">
        <v>456</v>
      </c>
      <c r="C49">
        <v>0.55201370000000005</v>
      </c>
      <c r="D49">
        <v>0.2622526</v>
      </c>
      <c r="E49">
        <v>1.1619301</v>
      </c>
      <c r="F49" s="1" t="str">
        <f t="shared" si="3"/>
        <v>0.55(0.26-1.16)</v>
      </c>
    </row>
    <row r="50" spans="1:10" x14ac:dyDescent="0.3">
      <c r="A50" t="s">
        <v>455</v>
      </c>
      <c r="C50">
        <v>0.78776029999999997</v>
      </c>
      <c r="D50">
        <v>0.3689635</v>
      </c>
      <c r="E50">
        <v>1.6819179</v>
      </c>
      <c r="F50" s="1" t="str">
        <f t="shared" si="3"/>
        <v>0.79(0.37-1.68)</v>
      </c>
    </row>
    <row r="52" spans="1:10" x14ac:dyDescent="0.3">
      <c r="A52" t="s">
        <v>456</v>
      </c>
      <c r="C52">
        <v>0.70073819999999998</v>
      </c>
      <c r="D52">
        <v>0.59013289999999996</v>
      </c>
      <c r="E52">
        <v>0.83207379999999997</v>
      </c>
      <c r="F52" s="1" t="str">
        <f t="shared" si="3"/>
        <v>0.7(0.59-0.83)</v>
      </c>
    </row>
    <row r="53" spans="1:10" x14ac:dyDescent="0.3">
      <c r="A53" t="s">
        <v>454</v>
      </c>
      <c r="C53">
        <v>1.2694217000000001</v>
      </c>
      <c r="D53">
        <v>0.59455939999999996</v>
      </c>
      <c r="E53">
        <v>2.7102955999999998</v>
      </c>
      <c r="F53" s="1" t="str">
        <f t="shared" si="3"/>
        <v>1.27(0.59-2.71)</v>
      </c>
    </row>
    <row r="58" spans="1:10" x14ac:dyDescent="0.3">
      <c r="C58" t="s">
        <v>457</v>
      </c>
      <c r="D58" t="s">
        <v>458</v>
      </c>
      <c r="E58" t="s">
        <v>459</v>
      </c>
    </row>
    <row r="59" spans="1:10" x14ac:dyDescent="0.3">
      <c r="C59" t="s">
        <v>458</v>
      </c>
      <c r="D59" s="1">
        <v>9.130664E-17</v>
      </c>
      <c r="E59" t="s">
        <v>460</v>
      </c>
      <c r="F59" t="s">
        <v>460</v>
      </c>
      <c r="H59" t="str">
        <f>IF(D59&lt;0.001,"&lt;0.001",ROUND(D59,3))</f>
        <v>&lt;0.001</v>
      </c>
      <c r="I59" t="e">
        <f t="shared" ref="I59:J61" si="4">IF(E59&lt;0.001,"&lt;0.001",ROUND(E59,3))</f>
        <v>#VALUE!</v>
      </c>
      <c r="J59" t="e">
        <f t="shared" si="4"/>
        <v>#VALUE!</v>
      </c>
    </row>
    <row r="60" spans="1:10" x14ac:dyDescent="0.3">
      <c r="C60" t="s">
        <v>459</v>
      </c>
      <c r="D60" s="1">
        <v>3.0166810000000002E-15</v>
      </c>
      <c r="E60">
        <v>0.14886439879999999</v>
      </c>
      <c r="F60" t="s">
        <v>460</v>
      </c>
      <c r="H60" t="str">
        <f t="shared" ref="H60:H61" si="5">IF(D60&lt;0.001,"&lt;0.001",ROUND(D60,3))</f>
        <v>&lt;0.001</v>
      </c>
      <c r="I60">
        <f t="shared" si="4"/>
        <v>0.14899999999999999</v>
      </c>
      <c r="J60" t="e">
        <f t="shared" si="4"/>
        <v>#VALUE!</v>
      </c>
    </row>
    <row r="61" spans="1:10" x14ac:dyDescent="0.3">
      <c r="C61" t="s">
        <v>461</v>
      </c>
      <c r="D61" s="1">
        <v>1.098971E-18</v>
      </c>
      <c r="E61">
        <v>1.4932150000000001E-4</v>
      </c>
      <c r="F61">
        <v>1.3404559999999999E-2</v>
      </c>
      <c r="H61" t="str">
        <f t="shared" si="5"/>
        <v>&lt;0.001</v>
      </c>
      <c r="I61" t="str">
        <f t="shared" si="4"/>
        <v>&lt;0.001</v>
      </c>
      <c r="J61">
        <f t="shared" si="4"/>
        <v>1.2999999999999999E-2</v>
      </c>
    </row>
    <row r="64" spans="1:10" x14ac:dyDescent="0.3">
      <c r="D64" t="s">
        <v>457</v>
      </c>
      <c r="E64" t="s">
        <v>458</v>
      </c>
      <c r="F64" t="s">
        <v>459</v>
      </c>
    </row>
    <row r="65" spans="3:10" x14ac:dyDescent="0.3">
      <c r="C65" t="s">
        <v>458</v>
      </c>
      <c r="D65" s="1">
        <v>4.3992480000000003E-12</v>
      </c>
      <c r="E65" t="s">
        <v>460</v>
      </c>
      <c r="F65" t="s">
        <v>460</v>
      </c>
      <c r="H65" t="str">
        <f>IF(D65&lt;0.001,"&lt;0.001",ROUND(D65,3))</f>
        <v>&lt;0.001</v>
      </c>
      <c r="I65" t="e">
        <f t="shared" ref="I65:J67" si="6">IF(E65&lt;0.001,"&lt;0.001",ROUND(E65,3))</f>
        <v>#VALUE!</v>
      </c>
      <c r="J65" t="e">
        <f t="shared" si="6"/>
        <v>#VALUE!</v>
      </c>
    </row>
    <row r="66" spans="3:10" x14ac:dyDescent="0.3">
      <c r="C66" t="s">
        <v>459</v>
      </c>
      <c r="D66" s="1">
        <v>1.5140160000000001E-11</v>
      </c>
      <c r="E66">
        <v>0.21221335999999999</v>
      </c>
      <c r="F66" t="s">
        <v>460</v>
      </c>
      <c r="H66" t="str">
        <f t="shared" ref="H66:H67" si="7">IF(D66&lt;0.001,"&lt;0.001",ROUND(D66,3))</f>
        <v>&lt;0.001</v>
      </c>
      <c r="I66">
        <f t="shared" si="6"/>
        <v>0.21199999999999999</v>
      </c>
      <c r="J66" t="e">
        <f t="shared" si="6"/>
        <v>#VALUE!</v>
      </c>
    </row>
    <row r="67" spans="3:10" x14ac:dyDescent="0.3">
      <c r="C67" t="s">
        <v>461</v>
      </c>
      <c r="D67" s="1">
        <v>8.6551260000000005E-10</v>
      </c>
      <c r="E67">
        <v>3.9513649999999997E-2</v>
      </c>
      <c r="F67">
        <v>0.24392639999999999</v>
      </c>
      <c r="H67" t="str">
        <f t="shared" si="7"/>
        <v>&lt;0.001</v>
      </c>
      <c r="I67">
        <f t="shared" si="6"/>
        <v>0.04</v>
      </c>
      <c r="J67">
        <f t="shared" si="6"/>
        <v>0.24399999999999999</v>
      </c>
    </row>
    <row r="69" spans="3:10" x14ac:dyDescent="0.3">
      <c r="D69" t="s">
        <v>462</v>
      </c>
      <c r="E69" t="s">
        <v>463</v>
      </c>
    </row>
    <row r="70" spans="3:10" x14ac:dyDescent="0.3">
      <c r="C70" t="s">
        <v>463</v>
      </c>
      <c r="D70">
        <v>0.63090758390000001</v>
      </c>
      <c r="E70" t="s">
        <v>460</v>
      </c>
      <c r="H70">
        <f>IF(D70&lt;0.001,"&lt;0.001",ROUND(D70,3))</f>
        <v>0.63100000000000001</v>
      </c>
      <c r="I70" t="e">
        <f>IF(E70&lt;0.001,"&lt;0.001",ROUND(E70,3))</f>
        <v>#VALUE!</v>
      </c>
    </row>
    <row r="71" spans="3:10" x14ac:dyDescent="0.3">
      <c r="C71" t="s">
        <v>464</v>
      </c>
      <c r="D71">
        <v>6.8059030000000001E-4</v>
      </c>
      <c r="E71">
        <v>0.97406020000000004</v>
      </c>
      <c r="H71" t="str">
        <f>IF(D71&lt;0.001,"&lt;0.001",ROUND(D71,3))</f>
        <v>&lt;0.001</v>
      </c>
      <c r="I71">
        <f>IF(E71&lt;0.001,"&lt;0.001",ROUND(E71,3))</f>
        <v>0.97399999999999998</v>
      </c>
    </row>
    <row r="73" spans="3:10" x14ac:dyDescent="0.3">
      <c r="C73" t="s">
        <v>462</v>
      </c>
      <c r="D73" t="s">
        <v>463</v>
      </c>
    </row>
    <row r="74" spans="3:10" x14ac:dyDescent="0.3">
      <c r="C74" t="s">
        <v>463</v>
      </c>
      <c r="D74">
        <v>0.63807469999999999</v>
      </c>
      <c r="E74" t="s">
        <v>460</v>
      </c>
      <c r="H74">
        <f>IF(D74&lt;0.001,"&lt;0.001",ROUND(D74,3))</f>
        <v>0.63800000000000001</v>
      </c>
      <c r="I74" t="e">
        <f>IF(E74&lt;0.001,"&lt;0.001",ROUND(E74,3))</f>
        <v>#VALUE!</v>
      </c>
    </row>
    <row r="75" spans="3:10" x14ac:dyDescent="0.3">
      <c r="C75" t="s">
        <v>464</v>
      </c>
      <c r="D75">
        <v>0.1380873</v>
      </c>
      <c r="E75">
        <v>0.77478950000000002</v>
      </c>
      <c r="H75">
        <f>IF(D75&lt;0.001,"&lt;0.001",ROUND(D75,3))</f>
        <v>0.13800000000000001</v>
      </c>
      <c r="I75">
        <f>IF(E75&lt;0.001,"&lt;0.001",ROUND(E75,3))</f>
        <v>0.77500000000000002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BASELINE</vt:lpstr>
      <vt:lpstr>table3&amp;4 logistic regression</vt:lpstr>
      <vt:lpstr>table5&amp;6&amp;7 cox model</vt:lpstr>
      <vt:lpstr>table8&amp;9&amp;10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</dc:creator>
  <cp:lastModifiedBy>Windows 사용자</cp:lastModifiedBy>
  <dcterms:created xsi:type="dcterms:W3CDTF">2025-11-15T16:07:12Z</dcterms:created>
  <dcterms:modified xsi:type="dcterms:W3CDTF">2025-11-19T07:50:43Z</dcterms:modified>
</cp:coreProperties>
</file>